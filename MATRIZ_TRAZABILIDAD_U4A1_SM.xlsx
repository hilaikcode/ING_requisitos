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uand\OneDrive\Escritorio\universidad semestres\SEMESTRE 4\ING. DE REQUISITOS\U4\ARTEFACTOS_U2_MUDANZAS_Y_SIMULADOR_VEHICULO\"/>
    </mc:Choice>
  </mc:AlternateContent>
  <xr:revisionPtr revIDLastSave="0" documentId="13_ncr:1_{85AF0C4F-1C25-49DF-8115-12E146F91538}" xr6:coauthVersionLast="47" xr6:coauthVersionMax="47" xr10:uidLastSave="{00000000-0000-0000-0000-000000000000}"/>
  <bookViews>
    <workbookView xWindow="-108" yWindow="-108" windowWidth="23256" windowHeight="12456" firstSheet="2" activeTab="5" xr2:uid="{00000000-000D-0000-FFFF-FFFF00000000}"/>
  </bookViews>
  <sheets>
    <sheet name="📖 Instrucciones" sheetId="1" r:id="rId1"/>
    <sheet name="📋 Matriz principal" sheetId="2" r:id="rId2"/>
    <sheet name="🔗 Trazabilidad visual" sheetId="3" r:id="rId3"/>
    <sheet name="📊 Resumen y métricas" sheetId="4" r:id="rId4"/>
    <sheet name="📝 Registro de RFCs" sheetId="5" r:id="rId5"/>
    <sheet name="🗂️ Catálogo de artefacto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4" l="1"/>
  <c r="E14" i="4"/>
  <c r="C14" i="4"/>
  <c r="A14" i="4"/>
  <c r="H10" i="4"/>
  <c r="G10" i="4"/>
  <c r="F10" i="4"/>
  <c r="E10" i="4"/>
  <c r="D10" i="4"/>
  <c r="C10" i="4"/>
  <c r="B10" i="4"/>
  <c r="A10" i="4"/>
  <c r="I5" i="4"/>
  <c r="G5" i="4"/>
  <c r="E5" i="4"/>
  <c r="C5" i="4"/>
  <c r="A5" i="4"/>
  <c r="K38" i="3"/>
  <c r="J38" i="3"/>
  <c r="I38" i="3"/>
  <c r="H38" i="3"/>
  <c r="G38" i="3"/>
  <c r="F38" i="3"/>
  <c r="E38" i="3"/>
  <c r="D38" i="3"/>
  <c r="C38" i="3"/>
</calcChain>
</file>

<file path=xl/sharedStrings.xml><?xml version="1.0" encoding="utf-8"?>
<sst xmlns="http://schemas.openxmlformats.org/spreadsheetml/2006/main" count="608" uniqueCount="280">
  <si>
    <t>CATÁLOGO DE ARTEFACTOS</t>
  </si>
  <si>
    <t>ID Artefacto</t>
  </si>
  <si>
    <t>Tipo</t>
  </si>
  <si>
    <t>Nombre / Descripción</t>
  </si>
  <si>
    <t>Versión actual</t>
  </si>
  <si>
    <t>Propietario</t>
  </si>
  <si>
    <t>Última actualización</t>
  </si>
  <si>
    <t>Requisitos vinculados</t>
  </si>
  <si>
    <t>SRS-001</t>
  </si>
  <si>
    <t>Documento SRS</t>
  </si>
  <si>
    <t>SRS — Especificación de Requisitos de Software del Simulador de Conducción (SSC-1.0)</t>
  </si>
  <si>
    <t>Rev. 00.01</t>
  </si>
  <si>
    <t>Juan de Dios García López</t>
  </si>
  <si>
    <t>2026-08-28</t>
  </si>
  <si>
    <t>Todos (RF-01 a RF-19, RNF-01 a RNF-14)</t>
  </si>
  <si>
    <t>DIAG-CU-01</t>
  </si>
  <si>
    <t>Diagrama de diseño</t>
  </si>
  <si>
    <t>RF-01 a RF-11, RF-13 a RF-19</t>
  </si>
  <si>
    <t>DIAG-CLS-01</t>
  </si>
  <si>
    <t>RF-01, RF-02, RF-05, RF-06, RF-14, RF-15, RF-17, RF-18</t>
  </si>
  <si>
    <t>DIAG-SEC-01</t>
  </si>
  <si>
    <t>RF-05, RF-06, RF-15, RF-17, RF-18</t>
  </si>
  <si>
    <t>DIAG-SEC-02</t>
  </si>
  <si>
    <t>RF-05</t>
  </si>
  <si>
    <t>DIAG-SEC-03</t>
  </si>
  <si>
    <t>MATRIZ DE TRAZABILIDAD DE REQUISITOS</t>
  </si>
  <si>
    <t>Plantilla estándar para proyectos de desarrollo de software · Versión 1.0</t>
  </si>
  <si>
    <t>¿QUÉ ES ESTA PLANTILLA?</t>
  </si>
  <si>
    <t>Esta plantilla permite rastrear cada necesidad de negocio a través de todo el ciclo de vida del software: desde el requisito que la documenta, hasta los casos de prueba que la verifican y el código que la implementa. Cuando un requisito cambia, la matriz muestra de inmediato qué otros artefactos deben actualizarse, evitando el scope creep silencioso y las regresiones no detectadas.</t>
  </si>
  <si>
    <t>ESTRUCTURA DE LA PLANTILLA</t>
  </si>
  <si>
    <t>📋 Matriz principal</t>
  </si>
  <si>
    <t>Hoja central. Cada fila es un requisito. Registra origen, especificación, pruebas, estado y RFC asociada.</t>
  </si>
  <si>
    <t>🔗 Trazabilidad visual</t>
  </si>
  <si>
    <t>Vista cruzada (requisitos × artefactos). Un ✓ en cada celda indica que el artefacto cubre ese requisito.</t>
  </si>
  <si>
    <t>📊 Resumen y métricas</t>
  </si>
  <si>
    <t>Dashboard automático: % de cobertura, requisitos sin prueba, cambios pendientes y semáforo de salud.</t>
  </si>
  <si>
    <t>📝 Registro de RFCs</t>
  </si>
  <si>
    <t>Historial de todas las Solicitudes de Cambio procesadas, con estado y artefactos impactados.</t>
  </si>
  <si>
    <t>🗂️ Catálogo de artefactos</t>
  </si>
  <si>
    <t>Inventario de todos los documentos, módulos de código y casos de prueba referenciados en la matriz.</t>
  </si>
  <si>
    <t>GUÍA DE COLORES Y ESTADOS</t>
  </si>
  <si>
    <t>Activo / Aprobado / Completado</t>
  </si>
  <si>
    <t>El requisito o artefacto está en uso y verificado.</t>
  </si>
  <si>
    <t>En desarrollo / Pendiente de revisión</t>
  </si>
  <si>
    <t>Trabajo en curso. Requiere seguimiento.</t>
  </si>
  <si>
    <t>Rechazado / Bloqueado / Sin cobertura</t>
  </si>
  <si>
    <t>Requiere acción inmediata. No puede cerrarse el ciclo.</t>
  </si>
  <si>
    <t>Propuesto / En análisis</t>
  </si>
  <si>
    <t>RFC o requisito recién ingresado, aún no evaluado.</t>
  </si>
  <si>
    <t>Aplazado / En espera de decisión</t>
  </si>
  <si>
    <t>El CCB ha pospuesto la decisión a una iteración futura.</t>
  </si>
  <si>
    <t>Archivado / Fuera de alcance</t>
  </si>
  <si>
    <t>No aplica al sprint actual. Conservado por trazabilidad histórica.</t>
  </si>
  <si>
    <t>FLUJO DE TRABAJO RECOMENDADO</t>
  </si>
  <si>
    <t>1. Al iniciar el proyecto, registra todas las necesidades de negocio en la columna 'ID Necesidad' de la Matriz principal.</t>
  </si>
  <si>
    <t>2. Para cada necesidad, crea al menos un requisito en la hoja Matriz principal. Completa todas las columnas.</t>
  </si>
  <si>
    <t>3. A medida que avanza el desarrollo, actualiza 'ID Código', 'ID Caso de prueba' y 'Resultado prueba'.</t>
  </si>
  <si>
    <t>4. Cuando llegue una RFC, regístrala en la hoja 'Registro de RFCs' y actualiza las filas afectadas en la Matriz principal.</t>
  </si>
  <si>
    <t>5. Usa la hoja 'Trazabilidad visual' para detectar requisitos sin cobertura (celdas vacías en columnas de artefactos).</t>
  </si>
  <si>
    <t>6. Revisa el 'Resumen y métricas' antes de cada reunión del CCB o revisión de sprint.</t>
  </si>
  <si>
    <t>7. Al cerrar el proyecto, archiva la matriz completa junto con el SRS y el informe de lecciones aprendidas.</t>
  </si>
  <si>
    <t>MATRIZ DE TRAZABILIDAD DE REQUISITOS — Hoja principal</t>
  </si>
  <si>
    <t>IDENTIFICACIÓN</t>
  </si>
  <si>
    <t>ORIGEN</t>
  </si>
  <si>
    <t>ESPECIFICACIÓN</t>
  </si>
  <si>
    <t>IMPLEMENTACIÓN</t>
  </si>
  <si>
    <t>VERIFICACIÓN</t>
  </si>
  <si>
    <t>ESTADO Y CAMBIOS</t>
  </si>
  <si>
    <t>ID Requisito</t>
  </si>
  <si>
    <t>Título del requisito</t>
  </si>
  <si>
    <t>ID Necesidad
de negocio</t>
  </si>
  <si>
    <t>Stakeholder
solicitante</t>
  </si>
  <si>
    <t>Prioridad
(MoSCoW)</t>
  </si>
  <si>
    <t>Versión
SRS</t>
  </si>
  <si>
    <t>Criterios de
aceptación (resumen)</t>
  </si>
  <si>
    <t>ID Módulo /
Código</t>
  </si>
  <si>
    <t>Sprint
implementación</t>
  </si>
  <si>
    <t>Responsable
desarrollo</t>
  </si>
  <si>
    <t>ID Caso de
prueba</t>
  </si>
  <si>
    <t>Resultado
prueba</t>
  </si>
  <si>
    <t>Fecha última
prueba</t>
  </si>
  <si>
    <t>Estado actual</t>
  </si>
  <si>
    <t>RFC asociada</t>
  </si>
  <si>
    <t>Última
actualización</t>
  </si>
  <si>
    <t>Notas / Observaciones</t>
  </si>
  <si>
    <t>RF-01</t>
  </si>
  <si>
    <t>Acelerar</t>
  </si>
  <si>
    <t>Funcional</t>
  </si>
  <si>
    <t>Empresa contratante</t>
  </si>
  <si>
    <t>Must have</t>
  </si>
  <si>
    <t>SRS Rev. 00.01</t>
  </si>
  <si>
    <t>Incrementa RPM y velocidad de forma proporcional a la señal del acelerador (0.0-1.0) solo con partida en curso y motor encendido; en marcha neutral solo sube RPM sin desplazar el vehículo.</t>
  </si>
  <si>
    <t>TC_FUNCT_01</t>
  </si>
  <si>
    <t>Pendiente</t>
  </si>
  <si>
    <t>Aprobado</t>
  </si>
  <si>
    <t>RF-02</t>
  </si>
  <si>
    <t>Frenar</t>
  </si>
  <si>
    <t>Reduce la velocidad de forma proporcional a la señal del pedal de freno (0.0-1.0); si el vehículo se detiene en marcha engranada sin pisar el embrague, el motor se cala (ver RF-06).</t>
  </si>
  <si>
    <t>RF-03</t>
  </si>
  <si>
    <t>Encender el vehículo</t>
  </si>
  <si>
    <t>Enciende el motor cuando está apagado, llevando las RPM a ralentí (800-1000); si ya está encendido, rechaza la acción y avisa en el HUD.</t>
  </si>
  <si>
    <t>RF-04</t>
  </si>
  <si>
    <t>Apagar el vehículo</t>
  </si>
  <si>
    <t>Apaga el motor cuando está encendido, detiene la transmisión de torque y decrece las RPM a 0; si ya está apagado, ignora el comando y notifica al usuario.</t>
  </si>
  <si>
    <t>Cambio de marcha del vehículo</t>
  </si>
  <si>
    <t>Permite cambiar de marcha según el modo de conducción activo y el límite de marchas del vehículo; bloquea el cambio manual en modo automático.</t>
  </si>
  <si>
    <t>TC_FUNCT_02</t>
  </si>
  <si>
    <t>RF-06</t>
  </si>
  <si>
    <t>Calado de error por error mecánico</t>
  </si>
  <si>
    <t>Apaga el vehículo inmediatamente si se cambia de marcha en modo manual sin presión suficiente de embrague, mostrando alerta crítica y bloqueando el acelerador hasta reencender.</t>
  </si>
  <si>
    <t>TC_FUNCT_03</t>
  </si>
  <si>
    <t>RF-07</t>
  </si>
  <si>
    <t>Configuración de mandos</t>
  </si>
  <si>
    <t>Permite escoger la disposición de mandos; asigna una configuración estándar por defecto y avisa si un mando ya está asignado a otra acción.</t>
  </si>
  <si>
    <t>RF-08</t>
  </si>
  <si>
    <t>Detección de dispositivos de entrada</t>
  </si>
  <si>
    <t>Comprueba la conexión de los periféricos configurados antes de iniciar la partida y pausa la partida si se pierde la conexión de alguno durante el juego.</t>
  </si>
  <si>
    <t>RF-09</t>
  </si>
  <si>
    <t>Registro de usuario</t>
  </si>
  <si>
    <t>Permite registrar correo electrónico y contraseña para crear una cuenta, siempre que los datos no pertenezcan a otro usuario.</t>
  </si>
  <si>
    <t>RF-10</t>
  </si>
  <si>
    <t>Autentificación del usuario</t>
  </si>
  <si>
    <t>Permite a usuarios registrados iniciar sesión; tras 5 intentos fallidos desactiva la cuenta hasta que se confirme el correo de recuperación enviado.</t>
  </si>
  <si>
    <t>RF-11</t>
  </si>
  <si>
    <t>Mover el volante</t>
  </si>
  <si>
    <t>Calcula y aplica el ángulo de giro de las ruedas del vehículo a partir de la señal del periférico configurado como volante/mando direccional.</t>
  </si>
  <si>
    <t>RF-12</t>
  </si>
  <si>
    <t>Configuración de la Interfaz de Usuario</t>
  </si>
  <si>
    <t>Should have</t>
  </si>
  <si>
    <t>Permite personalizar brillo, idioma, tamaño y color de subtítulos, y filtros de daltonismo dentro de las opciones disponibles.</t>
  </si>
  <si>
    <t>RF-13</t>
  </si>
  <si>
    <t>Elección dentro del menú</t>
  </si>
  <si>
    <t>Permite navegar entre los apartados del menú del videojuego, desplegando los subapartados disponibles de cada sección.</t>
  </si>
  <si>
    <t>RF-14</t>
  </si>
  <si>
    <t>Modificar el modo de conducción del vehículo</t>
  </si>
  <si>
    <t>Permite cambiar el modo de conducción durante la partida si el vehículo lo soporta; aplica antirrebote (espera 10 s entre señales, ignora 3 señales en menos de 2 s).</t>
  </si>
  <si>
    <t>RF-15</t>
  </si>
  <si>
    <t>Seleccionar modo de conducción</t>
  </si>
  <si>
    <t>Permite elegir el modo de transmisión (manual, semiautomático o automático) desde el menú de opciones; deshabilitado durante los niveles de tutorial.</t>
  </si>
  <si>
    <t>RF-16</t>
  </si>
  <si>
    <t>Selección y configuración del vehículo</t>
  </si>
  <si>
    <t>Permite elegir tipo y modelo de vehículo y personalizar sus parámetros mecánicos; bloquea el inicio de partida si no hay un vehículo válido seleccionado.</t>
  </si>
  <si>
    <t>RF-17</t>
  </si>
  <si>
    <t>Animación del pedal</t>
  </si>
  <si>
    <t>Reproduce la animación de pisar los pedales de embrague, freno y acelerador en el modelo 3D al recibir la señal del periférico correspondiente.</t>
  </si>
  <si>
    <t>RF-18</t>
  </si>
  <si>
    <t>Animación de la palanca de cambios</t>
  </si>
  <si>
    <t>Activa la animación de movimiento de la palanca de cambios al realizar una transición de marcha en los modos manual o semiautomático.</t>
  </si>
  <si>
    <t>RF-19</t>
  </si>
  <si>
    <t>Animación del giro de las ruedas</t>
  </si>
  <si>
    <t>Rota gráficamente las ruedas del vehículo en proporción al ángulo de giro calculado por el dispositivo de dirección.</t>
  </si>
  <si>
    <t>RNF-01</t>
  </si>
  <si>
    <t>Renderizado de FPS</t>
  </si>
  <si>
    <t>Rendimiento</t>
  </si>
  <si>
    <t>Renderizado sostenido de la partida a un mínimo de 60 FPS para asegurar la fluidez visual durante la conducción.</t>
  </si>
  <si>
    <t>TC_NOFUNCT_02</t>
  </si>
  <si>
    <t>RNF-02</t>
  </si>
  <si>
    <t>Latencia de dispositivos de entrada</t>
  </si>
  <si>
    <t>Tiempo de respuesta (latencia) inferior a 15 ms entre el accionamiento del periférico y la actualización gráfica en pantalla.</t>
  </si>
  <si>
    <t>RNF-03</t>
  </si>
  <si>
    <t>Consulta de datos históricos</t>
  </si>
  <si>
    <t>Al finalizar la partida, consulta y muestra en pantalla los datos históricos de partidas en menos de 1.5 s.</t>
  </si>
  <si>
    <t>RNF-04</t>
  </si>
  <si>
    <t>Tiempo de carga de la partida</t>
  </si>
  <si>
    <t>Carga texturas, físicas y gráficos de la partida en menos de 5 s desde que se inicia en el menú hasta la animación de inicio.</t>
  </si>
  <si>
    <t>RNF-05</t>
  </si>
  <si>
    <t>Encriptación de credenciales de usuario</t>
  </si>
  <si>
    <t>Seguridad</t>
  </si>
  <si>
    <t>Almacena las credenciales de los usuarios en la base de datos utilizando encriptación tipo hash.</t>
  </si>
  <si>
    <t>RNF-06</t>
  </si>
  <si>
    <t>Protección de los datos de configuración de usuario</t>
  </si>
  <si>
    <t>Rechaza cualquier petición de delete/update de la configuración de mandos de un usuario que no provenga de ese usuario o de un administrador.</t>
  </si>
  <si>
    <t>RNF-07</t>
  </si>
  <si>
    <t>Protección de los datos históricos de usuario</t>
  </si>
  <si>
    <t>Rechaza cualquier intento de inserción o manipulación de estadísticas que no provenga de un cliente autenticado en una sesión de juego válida.</t>
  </si>
  <si>
    <t>RNF-08</t>
  </si>
  <si>
    <t>Fiabilidad de simulación continua</t>
  </si>
  <si>
    <t>Fiabilidad</t>
  </si>
  <si>
    <t>No debe experimentar más de un fallo crítico (cierre inesperado) por cada 80 horas de simulación continua.</t>
  </si>
  <si>
    <t>TC_NOFUNCT_01</t>
  </si>
  <si>
    <t>RNF-09</t>
  </si>
  <si>
    <t>Desconexión inesperada de dispositivos de entrada</t>
  </si>
  <si>
    <t>Pausa la partida ante una desconexión abrupta de un dispositivo de entrada, garantizando la integridad del progreso sin generar errores de animación.</t>
  </si>
  <si>
    <t>RNF-10</t>
  </si>
  <si>
    <t>Disponibilidad del servidor de base de datos</t>
  </si>
  <si>
    <t>Disponibilidad</t>
  </si>
  <si>
    <t>El servidor central que aloja la base de datos de partidas históricas debe garantizar un uptime del 99.5% mensual.</t>
  </si>
  <si>
    <t>RNF-11</t>
  </si>
  <si>
    <t>Disponibilidad del modo local</t>
  </si>
  <si>
    <t>Permite jugar en modo local (offline) de forma ininterrumpida aunque el servidor de estadísticas no esté disponible.</t>
  </si>
  <si>
    <t>RNF-12</t>
  </si>
  <si>
    <t>Mantenimiento preventivo de base de datos</t>
  </si>
  <si>
    <t>Mantenibilidad</t>
  </si>
  <si>
    <t>Un desarrollador debe depurar y optimizar mensualmente las tablas del historial de partidas para evitar caídas de rendimiento en las consultas.</t>
  </si>
  <si>
    <t>RNF-13</t>
  </si>
  <si>
    <t>Mantenimiento correctivo de físicas y control</t>
  </si>
  <si>
    <t>El equipo de desarrollo debe revisar semanalmente los registros de error para diagnosticar y solucionar fallos en la transmisión del vehículo.</t>
  </si>
  <si>
    <t>RNF-14</t>
  </si>
  <si>
    <t>Mantenimiento adaptativo de periféricos</t>
  </si>
  <si>
    <t>El equipo de desarrollo debe revisar semanalmente los registros de error para diagnosticar y solucionar fallos de interacción con los periféricos.</t>
  </si>
  <si>
    <t>TRAZABILIDAD VISUAL — Requisitos × Artefactos</t>
  </si>
  <si>
    <t>Diagramas de origen (SRS)</t>
  </si>
  <si>
    <t>Casos de prueba (SRS 4.5)</t>
  </si>
  <si>
    <t>ID Req.</t>
  </si>
  <si>
    <t>Título (abrev.)</t>
  </si>
  <si>
    <t>Diagrama de
Casos de Uso
(2.2)</t>
  </si>
  <si>
    <t>Diagrama de clases
Transmisión
(4.1)</t>
  </si>
  <si>
    <t>Diagrama de secuencia
Cambio manual
(4.2)</t>
  </si>
  <si>
    <t>Diagrama de secuencia
Modo semiautomático
(4.3-4.4)</t>
  </si>
  <si>
    <t>TC_FUNCT_01
(Aceleración)</t>
  </si>
  <si>
    <t>TC_FUNCT_02
(Cambio de marcha
manual)</t>
  </si>
  <si>
    <t>TC_FUNCT_03
(Calado por
error mecánico)</t>
  </si>
  <si>
    <t>TC_NOFUNCT_01
(Fiabilidad 150 h)</t>
  </si>
  <si>
    <t>TC_NOFUNCT_02
(Rendimiento FPS)</t>
  </si>
  <si>
    <t>✓</t>
  </si>
  <si>
    <t>Cambio de marcha</t>
  </si>
  <si>
    <t>Calado por error mecánico</t>
  </si>
  <si>
    <t>Detección de periféricos</t>
  </si>
  <si>
    <t>Autenticación de usuario</t>
  </si>
  <si>
    <t>Configuración de interfaz</t>
  </si>
  <si>
    <t>Modificar modo de conducción</t>
  </si>
  <si>
    <t>Selección/config. de vehículo</t>
  </si>
  <si>
    <t>Animación de la palanca</t>
  </si>
  <si>
    <t>Animación del giro de ruedas</t>
  </si>
  <si>
    <t>Latencia de periféricos</t>
  </si>
  <si>
    <t>Tiempo de carga de partida</t>
  </si>
  <si>
    <t>Encriptación de credenciales</t>
  </si>
  <si>
    <t>Protección config. de usuario</t>
  </si>
  <si>
    <t>Protección de datos históricos</t>
  </si>
  <si>
    <t>Fiabilidad de simulación</t>
  </si>
  <si>
    <t>Desconexión de periféricos</t>
  </si>
  <si>
    <t>Disponibilidad de la BD</t>
  </si>
  <si>
    <t>Disponibilidad modo local</t>
  </si>
  <si>
    <t>Mantenim. preventivo de BD</t>
  </si>
  <si>
    <t>Mantenim. correctivo (físicas)</t>
  </si>
  <si>
    <t>Mantenim. adaptativo (periféricos)</t>
  </si>
  <si>
    <t>Cobertura total (%)</t>
  </si>
  <si>
    <t>RESUMEN Y MÉTRICAS — Dashboard de trazabilidad</t>
  </si>
  <si>
    <t>Las métricas se calculan automáticamente a partir de la hoja '📋 Matriz principal'</t>
  </si>
  <si>
    <t>Total requisitos</t>
  </si>
  <si>
    <t>Verificados</t>
  </si>
  <si>
    <t>En desarrollo</t>
  </si>
  <si>
    <t>Bloqueados / Fallidos</t>
  </si>
  <si>
    <t>Sin caso de prueba</t>
  </si>
  <si>
    <t>DISTRIBUCIÓN DE ESTADOS</t>
  </si>
  <si>
    <t>Propuesto</t>
  </si>
  <si>
    <t>Implementado</t>
  </si>
  <si>
    <t>Verificado</t>
  </si>
  <si>
    <t>Aplazado</t>
  </si>
  <si>
    <t>Rechazado</t>
  </si>
  <si>
    <t>Archivado</t>
  </si>
  <si>
    <t>DISTRIBUCIÓN POR PRIORIDAD (MoSCoW)</t>
  </si>
  <si>
    <t>Could have</t>
  </si>
  <si>
    <t>Won't have</t>
  </si>
  <si>
    <t>ALERTAS DE COBERTURA — Requisitos sin caso de prueba asignado</t>
  </si>
  <si>
    <t>Título</t>
  </si>
  <si>
    <t>Prioridad</t>
  </si>
  <si>
    <t>Estado</t>
  </si>
  <si>
    <t>Responsable</t>
  </si>
  <si>
    <t>Sprint</t>
  </si>
  <si>
    <t>→ Filtra la hoja 'Matriz principal' por columna L (ID Caso de prueba) vacía para ver los requisitos sin cobertura de prueba.</t>
  </si>
  <si>
    <t>REGISTRO DE SOLICITUDES DE CAMBIO (RFC)</t>
  </si>
  <si>
    <t>ID RFC</t>
  </si>
  <si>
    <t>Título del cambio</t>
  </si>
  <si>
    <t>Solicitante</t>
  </si>
  <si>
    <t>Fecha solicitud</t>
  </si>
  <si>
    <t>Requisito(s) afect.</t>
  </si>
  <si>
    <t>Artefactos impactados</t>
  </si>
  <si>
    <t>Decisión CCB</t>
  </si>
  <si>
    <t>Fecha decisión</t>
  </si>
  <si>
    <t>Responsable impl.</t>
  </si>
  <si>
    <t>Sprint impl.</t>
  </si>
  <si>
    <t>Estado RFC</t>
  </si>
  <si>
    <t>Notas</t>
  </si>
  <si>
    <t>No se tiene RFCs registrados</t>
  </si>
  <si>
    <t>Diagrama de secuencia — Bajar de marcha en modo semiautomático (SRS 4.4)</t>
  </si>
  <si>
    <t>Diagrama de secuencia — Subir de marcha en modo semiautomático (SRS 4.3)</t>
  </si>
  <si>
    <t>Diagrama de secuencia — Cambiar de marcha en modo manual (SRS 4.2)</t>
  </si>
  <si>
    <t>Diagrama de clases — Transmisión del vehículo (SRS 4.1)</t>
  </si>
  <si>
    <t>Diagrama de Casos de Uso — Simulador de Conducción (SRS 2.2)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</si>
</sst>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6" x14ac:knownFonts="1">
    <font>
      <sz val="11"/>
      <color theme="1"/>
      <name val="Roboto"/>
      <family val="2"/>
      <scheme val="minor"/>
    </font>
    <font>
      <b/>
      <sz val="18"/>
      <color rgb="FFFFFFFF"/>
      <name val="Arial"/>
      <family val="2"/>
    </font>
    <font>
      <b/>
      <sz val="11"/>
      <color rgb="FF1A1A1A"/>
      <name val="Arial"/>
      <family val="2"/>
    </font>
    <font>
      <sz val="9"/>
      <color rgb="FF1A1A1A"/>
      <name val="Arial"/>
      <family val="2"/>
    </font>
    <font>
      <b/>
      <sz val="9"/>
      <color rgb="FF993556"/>
      <name val="Arial"/>
      <family val="2"/>
    </font>
    <font>
      <b/>
      <sz val="9"/>
      <color rgb="FF27500A"/>
      <name val="Arial"/>
      <family val="2"/>
    </font>
    <font>
      <sz val="9"/>
      <color rgb="FF555555"/>
      <name val="Arial"/>
      <family val="2"/>
    </font>
    <font>
      <b/>
      <sz val="9"/>
      <color rgb="FF633806"/>
      <name val="Arial"/>
      <family val="2"/>
    </font>
    <font>
      <b/>
      <sz val="9"/>
      <color rgb="FF791F1F"/>
      <name val="Arial"/>
      <family val="2"/>
    </font>
    <font>
      <b/>
      <sz val="9"/>
      <color rgb="FF0C447C"/>
      <name val="Arial"/>
      <family val="2"/>
    </font>
    <font>
      <b/>
      <sz val="9"/>
      <color rgb="FF3C3489"/>
      <name val="Arial"/>
      <family val="2"/>
    </font>
    <font>
      <b/>
      <sz val="9"/>
      <color rgb="FF888780"/>
      <name val="Arial"/>
      <family val="2"/>
    </font>
    <font>
      <b/>
      <sz val="14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rgb="FF1A1A1A"/>
      <name val="Arial"/>
      <family val="2"/>
    </font>
    <font>
      <b/>
      <sz val="8"/>
      <color rgb="FFFFFFFF"/>
      <name val="Arial"/>
      <family val="2"/>
    </font>
    <font>
      <b/>
      <sz val="10"/>
      <color rgb="FF27500A"/>
      <name val="Arial"/>
      <family val="2"/>
    </font>
    <font>
      <i/>
      <sz val="9"/>
      <color rgb="FFD4537E"/>
      <name val="Arial"/>
      <family val="2"/>
    </font>
    <font>
      <sz val="9"/>
      <color rgb="FFFFFFFF"/>
      <name val="Arial"/>
      <family val="2"/>
    </font>
    <font>
      <b/>
      <sz val="22"/>
      <color rgb="FFFFFFFF"/>
      <name val="Arial"/>
      <family val="2"/>
    </font>
    <font>
      <b/>
      <sz val="10"/>
      <color rgb="FFFFFFFF"/>
      <name val="Arial"/>
      <family val="2"/>
    </font>
    <font>
      <b/>
      <sz val="8"/>
      <color rgb="FF0C447C"/>
      <name val="Arial"/>
      <family val="2"/>
    </font>
    <font>
      <b/>
      <sz val="16"/>
      <color rgb="FF0C447C"/>
      <name val="Arial"/>
      <family val="2"/>
    </font>
    <font>
      <b/>
      <sz val="8"/>
      <color rgb="FF085041"/>
      <name val="Arial"/>
      <family val="2"/>
    </font>
    <font>
      <b/>
      <sz val="16"/>
      <color rgb="FF085041"/>
      <name val="Arial"/>
      <family val="2"/>
    </font>
    <font>
      <b/>
      <sz val="8"/>
      <color rgb="FF633806"/>
      <name val="Arial"/>
      <family val="2"/>
    </font>
    <font>
      <b/>
      <sz val="16"/>
      <color rgb="FF633806"/>
      <name val="Arial"/>
      <family val="2"/>
    </font>
    <font>
      <b/>
      <sz val="8"/>
      <color rgb="FF27500A"/>
      <name val="Arial"/>
      <family val="2"/>
    </font>
    <font>
      <b/>
      <sz val="16"/>
      <color rgb="FF27500A"/>
      <name val="Arial"/>
      <family val="2"/>
    </font>
    <font>
      <b/>
      <sz val="8"/>
      <color rgb="FF3C3489"/>
      <name val="Arial"/>
      <family val="2"/>
    </font>
    <font>
      <b/>
      <sz val="16"/>
      <color rgb="FF3C3489"/>
      <name val="Arial"/>
      <family val="2"/>
    </font>
    <font>
      <b/>
      <sz val="8"/>
      <color rgb="FF791F1F"/>
      <name val="Arial"/>
      <family val="2"/>
    </font>
    <font>
      <b/>
      <sz val="16"/>
      <color rgb="FF791F1F"/>
      <name val="Arial"/>
      <family val="2"/>
    </font>
    <font>
      <b/>
      <sz val="8"/>
      <color rgb="FF888780"/>
      <name val="Arial"/>
      <family val="2"/>
    </font>
    <font>
      <b/>
      <sz val="16"/>
      <color rgb="FF888780"/>
      <name val="Arial"/>
      <family val="2"/>
    </font>
    <font>
      <b/>
      <sz val="18"/>
      <color rgb="FF791F1F"/>
      <name val="Arial"/>
      <family val="2"/>
    </font>
    <font>
      <b/>
      <sz val="18"/>
      <color rgb="FF633806"/>
      <name val="Arial"/>
      <family val="2"/>
    </font>
    <font>
      <b/>
      <sz val="18"/>
      <color rgb="FF0C447C"/>
      <name val="Arial"/>
      <family val="2"/>
    </font>
    <font>
      <b/>
      <sz val="18"/>
      <color rgb="FF888780"/>
      <name val="Arial"/>
      <family val="2"/>
    </font>
    <font>
      <i/>
      <sz val="9"/>
      <color rgb="FF791F1F"/>
      <name val="Arial"/>
      <family val="2"/>
    </font>
    <font>
      <b/>
      <sz val="9"/>
      <color rgb="FF085041"/>
      <name val="Arial"/>
      <family val="2"/>
    </font>
    <font>
      <b/>
      <sz val="9"/>
      <color theme="9" tint="-0.499984740745262"/>
      <name val="Arial"/>
      <family val="2"/>
    </font>
    <font>
      <i/>
      <sz val="10"/>
      <color theme="9" tint="-0.499984740745262"/>
      <name val="Arial"/>
      <family val="2"/>
    </font>
    <font>
      <i/>
      <sz val="9"/>
      <color rgb="FF6B6B6B"/>
      <name val="Arial"/>
    </font>
    <font>
      <sz val="9"/>
      <name val="Arial"/>
    </font>
    <font>
      <b/>
      <sz val="9"/>
      <color rgb="FF0E6E7C"/>
      <name val="Arial"/>
    </font>
  </fonts>
  <fills count="21">
    <fill>
      <patternFill patternType="none"/>
    </fill>
    <fill>
      <patternFill patternType="gray125"/>
    </fill>
    <fill>
      <patternFill patternType="solid">
        <fgColor rgb="FFFBEAF0"/>
      </patternFill>
    </fill>
    <fill>
      <patternFill patternType="solid">
        <fgColor rgb="FFF5F4F2"/>
      </patternFill>
    </fill>
    <fill>
      <patternFill patternType="solid">
        <fgColor rgb="FFFFFFFF"/>
      </patternFill>
    </fill>
    <fill>
      <patternFill patternType="solid">
        <fgColor rgb="FFEAF3DE"/>
      </patternFill>
    </fill>
    <fill>
      <patternFill patternType="solid">
        <fgColor rgb="FFFAEEDA"/>
      </patternFill>
    </fill>
    <fill>
      <patternFill patternType="solid">
        <fgColor rgb="FFFCEBEB"/>
      </patternFill>
    </fill>
    <fill>
      <patternFill patternType="solid">
        <fgColor rgb="FFE6F1FB"/>
      </patternFill>
    </fill>
    <fill>
      <patternFill patternType="solid">
        <fgColor rgb="FFEEEDFE"/>
      </patternFill>
    </fill>
    <fill>
      <patternFill patternType="solid">
        <fgColor rgb="FFFDF5F8"/>
      </patternFill>
    </fill>
    <fill>
      <patternFill patternType="solid">
        <fgColor rgb="FFBA7517"/>
      </patternFill>
    </fill>
    <fill>
      <patternFill patternType="solid">
        <fgColor rgb="FF185FA5"/>
      </patternFill>
    </fill>
    <fill>
      <patternFill patternType="solid">
        <fgColor rgb="FF1D9E75"/>
      </patternFill>
    </fill>
    <fill>
      <patternFill patternType="solid">
        <fgColor rgb="FF3B6D11"/>
      </patternFill>
    </fill>
    <fill>
      <patternFill patternType="solid">
        <fgColor rgb="FF7F77DD"/>
      </patternFill>
    </fill>
    <fill>
      <patternFill patternType="solid">
        <fgColor rgb="FFA32D2D"/>
      </patternFill>
    </fill>
    <fill>
      <patternFill patternType="solid">
        <fgColor rgb="FFE1F5EE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FF3F5"/>
      </patternFill>
    </fill>
  </fills>
  <borders count="5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CCCC"/>
      </left>
      <right style="thin">
        <color rgb="FFDDCCCC"/>
      </right>
      <top style="thin">
        <color rgb="FFDDCCCC"/>
      </top>
      <bottom style="thin">
        <color rgb="FFDDCCCC"/>
      </bottom>
      <diagonal/>
    </border>
    <border>
      <left style="thin">
        <color rgb="FFBA7517"/>
      </left>
      <right style="thin">
        <color rgb="FFBA7517"/>
      </right>
      <top style="thin">
        <color rgb="FFBA7517"/>
      </top>
      <bottom style="thin">
        <color rgb="FFBA7517"/>
      </bottom>
      <diagonal/>
    </border>
    <border>
      <left style="thin">
        <color rgb="FF3B6D11"/>
      </left>
      <right style="thin">
        <color rgb="FF3B6D11"/>
      </right>
      <top style="thin">
        <color rgb="FF3B6D11"/>
      </top>
      <bottom style="thin">
        <color rgb="FF3B6D11"/>
      </bottom>
      <diagonal/>
    </border>
    <border>
      <left style="thin">
        <color rgb="FF7F77DD"/>
      </left>
      <right style="thin">
        <color rgb="FF7F77DD"/>
      </right>
      <top style="thin">
        <color rgb="FF7F77DD"/>
      </top>
      <bottom style="thin">
        <color rgb="FF7F77D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A32D2D"/>
      </left>
      <right style="thin">
        <color rgb="FFA32D2D"/>
      </right>
      <top style="thin">
        <color rgb="FFA32D2D"/>
      </top>
      <bottom style="thin">
        <color rgb="FFA32D2D"/>
      </bottom>
      <diagonal/>
    </border>
    <border>
      <left/>
      <right/>
      <top/>
      <bottom style="thin">
        <color theme="9" tint="0.79998168889431442"/>
      </bottom>
      <diagonal/>
    </border>
    <border>
      <left style="thin">
        <color theme="9" tint="0.79998168889431442"/>
      </left>
      <right style="thin">
        <color rgb="FFD4537E"/>
      </right>
      <top style="thin">
        <color theme="9" tint="0.79998168889431442"/>
      </top>
      <bottom style="thin">
        <color rgb="FFD4537E"/>
      </bottom>
      <diagonal/>
    </border>
    <border>
      <left/>
      <right/>
      <top/>
      <bottom style="thin">
        <color rgb="FFD4537E"/>
      </bottom>
      <diagonal/>
    </border>
    <border>
      <left style="thin">
        <color theme="9" tint="0.79998168889431442"/>
      </left>
      <right style="thin">
        <color theme="9" tint="0.79998168889431442"/>
      </right>
      <top style="thin">
        <color theme="9" tint="0.79998168889431442"/>
      </top>
      <bottom style="thin">
        <color theme="9" tint="0.79998168889431442"/>
      </bottom>
      <diagonal/>
    </border>
    <border>
      <left style="thin">
        <color rgb="FFDDDDDD"/>
      </left>
      <right style="thin">
        <color rgb="FFDDDDDD"/>
      </right>
      <top/>
      <bottom style="thin">
        <color rgb="FFDDDDDD"/>
      </bottom>
      <diagonal/>
    </border>
    <border>
      <left/>
      <right/>
      <top style="thin">
        <color theme="9" tint="0.79998168889431442"/>
      </top>
      <bottom style="thin">
        <color theme="9" tint="0.79998168889431442"/>
      </bottom>
      <diagonal/>
    </border>
    <border>
      <left style="thin">
        <color theme="9" tint="0.79998168889431442"/>
      </left>
      <right/>
      <top style="thin">
        <color theme="9" tint="0.79998168889431442"/>
      </top>
      <bottom style="thin">
        <color theme="9" tint="0.79998168889431442"/>
      </bottom>
      <diagonal/>
    </border>
    <border>
      <left/>
      <right style="thin">
        <color rgb="FF3B6D11"/>
      </right>
      <top style="thin">
        <color rgb="FF3B6D11"/>
      </top>
      <bottom style="thin">
        <color rgb="FF3B6D11"/>
      </bottom>
      <diagonal/>
    </border>
    <border>
      <left style="thin">
        <color rgb="FF791F1F"/>
      </left>
      <right style="thin">
        <color rgb="FF791F1F"/>
      </right>
      <top/>
      <bottom/>
      <diagonal/>
    </border>
    <border>
      <left style="thin">
        <color rgb="FFD4537E"/>
      </left>
      <right/>
      <top/>
      <bottom style="thin">
        <color rgb="FFD4537E"/>
      </bottom>
      <diagonal/>
    </border>
    <border>
      <left style="thin">
        <color theme="9" tint="0.79998168889431442"/>
      </left>
      <right style="thin">
        <color theme="9" tint="0.79998168889431442"/>
      </right>
      <top style="thin">
        <color theme="9" tint="0.79998168889431442"/>
      </top>
      <bottom style="thin">
        <color rgb="FFD4537E"/>
      </bottom>
      <diagonal/>
    </border>
    <border>
      <left style="thin">
        <color rgb="FF993556"/>
      </left>
      <right style="thin">
        <color rgb="FF993556"/>
      </right>
      <top/>
      <bottom style="thin">
        <color rgb="FF993556"/>
      </bottom>
      <diagonal/>
    </border>
    <border>
      <left style="thin">
        <color rgb="FFBA7517"/>
      </left>
      <right style="thin">
        <color rgb="FFBA7517"/>
      </right>
      <top/>
      <bottom style="thin">
        <color rgb="FFBA7517"/>
      </bottom>
      <diagonal/>
    </border>
    <border>
      <left style="thin">
        <color rgb="FF185FA5"/>
      </left>
      <right style="thin">
        <color rgb="FF185FA5"/>
      </right>
      <top/>
      <bottom style="thin">
        <color rgb="FF185FA5"/>
      </bottom>
      <diagonal/>
    </border>
    <border>
      <left style="thin">
        <color rgb="FF1D9E75"/>
      </left>
      <right style="thin">
        <color rgb="FF1D9E75"/>
      </right>
      <top/>
      <bottom style="thin">
        <color rgb="FF1D9E75"/>
      </bottom>
      <diagonal/>
    </border>
    <border>
      <left style="thin">
        <color rgb="FF3B6D11"/>
      </left>
      <right style="thin">
        <color rgb="FF3B6D11"/>
      </right>
      <top/>
      <bottom style="thin">
        <color rgb="FF3B6D11"/>
      </bottom>
      <diagonal/>
    </border>
    <border>
      <left style="thin">
        <color rgb="FF7F77DD"/>
      </left>
      <right style="thin">
        <color rgb="FF7F77DD"/>
      </right>
      <top/>
      <bottom style="thin">
        <color rgb="FF7F77DD"/>
      </bottom>
      <diagonal/>
    </border>
    <border>
      <left/>
      <right style="thin">
        <color rgb="FFDDCCCC"/>
      </right>
      <top style="thin">
        <color rgb="FFDDCCCC"/>
      </top>
      <bottom style="thin">
        <color rgb="FFDDCCCC"/>
      </bottom>
      <diagonal/>
    </border>
    <border>
      <left/>
      <right/>
      <top style="thin">
        <color rgb="FFDDDDDD"/>
      </top>
      <bottom/>
      <diagonal/>
    </border>
    <border>
      <left/>
      <right style="thin">
        <color rgb="FFDDDDDD"/>
      </right>
      <top style="thin">
        <color rgb="FFDDDDDD"/>
      </top>
      <bottom/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/>
      <top/>
      <bottom/>
      <diagonal/>
    </border>
    <border>
      <left/>
      <right style="thin">
        <color rgb="FFDDDDDD"/>
      </right>
      <top/>
      <bottom/>
      <diagonal/>
    </border>
    <border>
      <left style="thin">
        <color rgb="FFDDDDDD"/>
      </left>
      <right/>
      <top/>
      <bottom style="thin">
        <color rgb="FFDDDDDD"/>
      </bottom>
      <diagonal/>
    </border>
    <border>
      <left/>
      <right/>
      <top/>
      <bottom style="thin">
        <color rgb="FFDDDDDD"/>
      </bottom>
      <diagonal/>
    </border>
    <border>
      <left/>
      <right style="thin">
        <color rgb="FFDDDDDD"/>
      </right>
      <top/>
      <bottom style="thin">
        <color rgb="FFDDDDDD"/>
      </bottom>
      <diagonal/>
    </border>
    <border>
      <left/>
      <right/>
      <top/>
      <bottom style="thin">
        <color rgb="FFBA7517"/>
      </bottom>
      <diagonal/>
    </border>
    <border>
      <left/>
      <right style="thin">
        <color rgb="FFBA7517"/>
      </right>
      <top/>
      <bottom style="thin">
        <color rgb="FFBA7517"/>
      </bottom>
      <diagonal/>
    </border>
    <border>
      <left/>
      <right/>
      <top/>
      <bottom style="thin">
        <color rgb="FF1D9E75"/>
      </bottom>
      <diagonal/>
    </border>
    <border>
      <left/>
      <right style="thin">
        <color rgb="FF1D9E75"/>
      </right>
      <top/>
      <bottom style="thin">
        <color rgb="FF1D9E75"/>
      </bottom>
      <diagonal/>
    </border>
    <border>
      <left/>
      <right style="thin">
        <color rgb="FF185FA5"/>
      </right>
      <top/>
      <bottom style="thin">
        <color rgb="FF185FA5"/>
      </bottom>
      <diagonal/>
    </border>
    <border>
      <left/>
      <right/>
      <top/>
      <bottom style="thin">
        <color rgb="FF7F77DD"/>
      </bottom>
      <diagonal/>
    </border>
    <border>
      <left/>
      <right style="thin">
        <color rgb="FF7F77DD"/>
      </right>
      <top/>
      <bottom style="thin">
        <color rgb="FF7F77DD"/>
      </bottom>
      <diagonal/>
    </border>
    <border>
      <left/>
      <right/>
      <top/>
      <bottom style="thin">
        <color rgb="FF3B6D11"/>
      </bottom>
      <diagonal/>
    </border>
    <border>
      <left/>
      <right style="thin">
        <color rgb="FF3B6D11"/>
      </right>
      <top/>
      <bottom style="thin">
        <color rgb="FF3B6D11"/>
      </bottom>
      <diagonal/>
    </border>
    <border>
      <left/>
      <right/>
      <top/>
      <bottom style="thin">
        <color rgb="FF993556"/>
      </bottom>
      <diagonal/>
    </border>
    <border>
      <left/>
      <right style="thin">
        <color rgb="FF993556"/>
      </right>
      <top/>
      <bottom style="thin">
        <color rgb="FF993556"/>
      </bottom>
      <diagonal/>
    </border>
    <border>
      <left/>
      <right/>
      <top style="thin">
        <color rgb="FF3B6D11"/>
      </top>
      <bottom style="thin">
        <color rgb="FF3B6D11"/>
      </bottom>
      <diagonal/>
    </border>
    <border>
      <left/>
      <right/>
      <top style="thin">
        <color rgb="FFBA7517"/>
      </top>
      <bottom style="thin">
        <color rgb="FFBA7517"/>
      </bottom>
      <diagonal/>
    </border>
    <border>
      <left/>
      <right style="thin">
        <color rgb="FFBA7517"/>
      </right>
      <top style="thin">
        <color rgb="FFBA7517"/>
      </top>
      <bottom style="thin">
        <color rgb="FFBA7517"/>
      </bottom>
      <diagonal/>
    </border>
    <border>
      <left/>
      <right style="thin">
        <color rgb="FFA32D2D"/>
      </right>
      <top style="thin">
        <color rgb="FFA32D2D"/>
      </top>
      <bottom style="thin">
        <color rgb="FFA32D2D"/>
      </bottom>
      <diagonal/>
    </border>
    <border>
      <left/>
      <right style="thin">
        <color rgb="FF7F77DD"/>
      </right>
      <top style="thin">
        <color rgb="FF7F77DD"/>
      </top>
      <bottom style="thin">
        <color rgb="FF7F77DD"/>
      </bottom>
      <diagonal/>
    </border>
    <border>
      <left/>
      <right/>
      <top/>
      <bottom/>
      <diagonal/>
    </border>
  </borders>
  <cellStyleXfs count="1">
    <xf numFmtId="0" fontId="0" fillId="0" borderId="51"/>
  </cellStyleXfs>
  <cellXfs count="137">
    <xf numFmtId="0" fontId="0" fillId="0" borderId="0" xfId="0" applyBorder="1"/>
    <xf numFmtId="0" fontId="3" fillId="4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left" vertical="center" wrapText="1"/>
    </xf>
    <xf numFmtId="0" fontId="13" fillId="11" borderId="6" xfId="0" applyFont="1" applyFill="1" applyBorder="1" applyAlignment="1">
      <alignment horizontal="center" vertical="center" wrapText="1"/>
    </xf>
    <xf numFmtId="0" fontId="13" fillId="12" borderId="6" xfId="0" applyFont="1" applyFill="1" applyBorder="1" applyAlignment="1">
      <alignment horizontal="center" vertical="center" wrapText="1"/>
    </xf>
    <xf numFmtId="0" fontId="13" fillId="13" borderId="6" xfId="0" applyFont="1" applyFill="1" applyBorder="1" applyAlignment="1">
      <alignment horizontal="center" vertical="center" wrapText="1"/>
    </xf>
    <xf numFmtId="0" fontId="13" fillId="14" borderId="6" xfId="0" applyFont="1" applyFill="1" applyBorder="1" applyAlignment="1">
      <alignment horizontal="center" vertical="center" wrapText="1"/>
    </xf>
    <xf numFmtId="0" fontId="13" fillId="15" borderId="6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15" fillId="11" borderId="6" xfId="0" applyFont="1" applyFill="1" applyBorder="1" applyAlignment="1">
      <alignment horizontal="center" vertical="center" wrapText="1"/>
    </xf>
    <xf numFmtId="0" fontId="15" fillId="14" borderId="6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16" fillId="5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22" fillId="8" borderId="1" xfId="0" applyFont="1" applyFill="1" applyBorder="1" applyAlignment="1">
      <alignment horizontal="center" vertical="center"/>
    </xf>
    <xf numFmtId="0" fontId="24" fillId="17" borderId="1" xfId="0" applyFont="1" applyFill="1" applyBorder="1" applyAlignment="1">
      <alignment horizontal="center" vertical="center"/>
    </xf>
    <xf numFmtId="0" fontId="26" fillId="6" borderId="1" xfId="0" applyFont="1" applyFill="1" applyBorder="1" applyAlignment="1">
      <alignment horizontal="center" vertical="center"/>
    </xf>
    <xf numFmtId="0" fontId="28" fillId="5" borderId="1" xfId="0" applyFont="1" applyFill="1" applyBorder="1" applyAlignment="1">
      <alignment horizontal="center" vertical="center"/>
    </xf>
    <xf numFmtId="0" fontId="30" fillId="9" borderId="1" xfId="0" applyFont="1" applyFill="1" applyBorder="1" applyAlignment="1">
      <alignment horizontal="center" vertical="center"/>
    </xf>
    <xf numFmtId="0" fontId="32" fillId="7" borderId="1" xfId="0" applyFont="1" applyFill="1" applyBorder="1" applyAlignment="1">
      <alignment horizontal="center" vertical="center"/>
    </xf>
    <xf numFmtId="0" fontId="34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0" fillId="17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18" borderId="0" xfId="0" applyFill="1" applyBorder="1"/>
    <xf numFmtId="0" fontId="13" fillId="18" borderId="6" xfId="0" applyFont="1" applyFill="1" applyBorder="1" applyAlignment="1">
      <alignment horizontal="center" vertical="center" wrapText="1"/>
    </xf>
    <xf numFmtId="0" fontId="15" fillId="18" borderId="6" xfId="0" applyFont="1" applyFill="1" applyBorder="1" applyAlignment="1">
      <alignment horizontal="center" vertical="center" wrapText="1"/>
    </xf>
    <xf numFmtId="0" fontId="13" fillId="18" borderId="10" xfId="0" applyFont="1" applyFill="1" applyBorder="1" applyAlignment="1">
      <alignment horizontal="center" vertical="center" wrapText="1"/>
    </xf>
    <xf numFmtId="0" fontId="13" fillId="18" borderId="9" xfId="0" applyFont="1" applyFill="1" applyBorder="1" applyAlignment="1">
      <alignment horizontal="center" vertical="center" wrapText="1"/>
    </xf>
    <xf numFmtId="0" fontId="3" fillId="10" borderId="12" xfId="0" applyFont="1" applyFill="1" applyBorder="1" applyAlignment="1">
      <alignment horizontal="left" vertical="center" wrapText="1"/>
    </xf>
    <xf numFmtId="0" fontId="13" fillId="18" borderId="11" xfId="0" applyFont="1" applyFill="1" applyBorder="1" applyAlignment="1">
      <alignment horizontal="center" vertical="center" wrapText="1"/>
    </xf>
    <xf numFmtId="0" fontId="13" fillId="18" borderId="13" xfId="0" applyFont="1" applyFill="1" applyBorder="1" applyAlignment="1">
      <alignment horizontal="center" vertical="center" wrapText="1"/>
    </xf>
    <xf numFmtId="0" fontId="13" fillId="18" borderId="14" xfId="0" applyFont="1" applyFill="1" applyBorder="1" applyAlignment="1">
      <alignment horizontal="center" vertical="center" wrapText="1"/>
    </xf>
    <xf numFmtId="0" fontId="21" fillId="8" borderId="12" xfId="0" applyFont="1" applyFill="1" applyBorder="1" applyAlignment="1">
      <alignment horizontal="center" vertical="center" wrapText="1"/>
    </xf>
    <xf numFmtId="0" fontId="23" fillId="17" borderId="12" xfId="0" applyFont="1" applyFill="1" applyBorder="1" applyAlignment="1">
      <alignment horizontal="center" vertical="center" wrapText="1"/>
    </xf>
    <xf numFmtId="0" fontId="25" fillId="6" borderId="12" xfId="0" applyFont="1" applyFill="1" applyBorder="1" applyAlignment="1">
      <alignment horizontal="center" vertical="center" wrapText="1"/>
    </xf>
    <xf numFmtId="0" fontId="27" fillId="5" borderId="12" xfId="0" applyFont="1" applyFill="1" applyBorder="1" applyAlignment="1">
      <alignment horizontal="center" vertical="center" wrapText="1"/>
    </xf>
    <xf numFmtId="0" fontId="29" fillId="9" borderId="12" xfId="0" applyFont="1" applyFill="1" applyBorder="1" applyAlignment="1">
      <alignment horizontal="center" vertical="center" wrapText="1"/>
    </xf>
    <xf numFmtId="0" fontId="31" fillId="7" borderId="12" xfId="0" applyFont="1" applyFill="1" applyBorder="1" applyAlignment="1">
      <alignment horizontal="center" vertical="center" wrapText="1"/>
    </xf>
    <xf numFmtId="0" fontId="33" fillId="3" borderId="12" xfId="0" applyFont="1" applyFill="1" applyBorder="1" applyAlignment="1">
      <alignment horizontal="center" vertical="center" wrapText="1"/>
    </xf>
    <xf numFmtId="0" fontId="13" fillId="16" borderId="16" xfId="0" applyFont="1" applyFill="1" applyBorder="1" applyAlignment="1">
      <alignment horizontal="center" vertical="center"/>
    </xf>
    <xf numFmtId="0" fontId="13" fillId="18" borderId="17" xfId="0" applyFont="1" applyFill="1" applyBorder="1" applyAlignment="1">
      <alignment horizontal="center" vertical="center" wrapText="1"/>
    </xf>
    <xf numFmtId="0" fontId="13" fillId="18" borderId="18" xfId="0" applyFont="1" applyFill="1" applyBorder="1" applyAlignment="1">
      <alignment horizontal="center" vertical="center" wrapText="1"/>
    </xf>
    <xf numFmtId="9" fontId="5" fillId="5" borderId="15" xfId="0" applyNumberFormat="1" applyFont="1" applyFill="1" applyBorder="1" applyAlignment="1">
      <alignment horizontal="center" vertical="center"/>
    </xf>
    <xf numFmtId="0" fontId="44" fillId="0" borderId="51" xfId="0" applyFont="1"/>
    <xf numFmtId="0" fontId="45" fillId="20" borderId="1" xfId="0" applyFont="1" applyFill="1" applyBorder="1" applyAlignment="1">
      <alignment horizontal="center" vertical="center" wrapText="1"/>
    </xf>
    <xf numFmtId="0" fontId="12" fillId="18" borderId="8" xfId="0" applyFont="1" applyFill="1" applyBorder="1" applyAlignment="1">
      <alignment horizontal="center" vertical="center"/>
    </xf>
    <xf numFmtId="0" fontId="0" fillId="0" borderId="8" xfId="0" applyBorder="1"/>
    <xf numFmtId="0" fontId="2" fillId="3" borderId="1" xfId="0" applyFont="1" applyFill="1" applyBorder="1" applyAlignment="1">
      <alignment horizontal="left" vertical="center" wrapText="1"/>
    </xf>
    <xf numFmtId="0" fontId="0" fillId="0" borderId="28" xfId="0" applyBorder="1"/>
    <xf numFmtId="0" fontId="0" fillId="0" borderId="29" xfId="0" applyBorder="1"/>
    <xf numFmtId="0" fontId="3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41" fillId="19" borderId="2" xfId="0" applyFont="1" applyFill="1" applyBorder="1" applyAlignment="1">
      <alignment horizontal="left" vertical="center"/>
    </xf>
    <xf numFmtId="0" fontId="0" fillId="0" borderId="25" xfId="0" applyBorder="1"/>
    <xf numFmtId="0" fontId="7" fillId="6" borderId="1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left" vertical="center"/>
    </xf>
    <xf numFmtId="0" fontId="1" fillId="18" borderId="51" xfId="0" applyFont="1" applyFill="1" applyAlignment="1">
      <alignment horizontal="center" vertical="center"/>
    </xf>
    <xf numFmtId="0" fontId="0" fillId="0" borderId="0" xfId="0" applyBorder="1"/>
    <xf numFmtId="0" fontId="3" fillId="19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0" fillId="0" borderId="26" xfId="0" applyBorder="1"/>
    <xf numFmtId="0" fontId="0" fillId="0" borderId="27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9" fillId="8" borderId="1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left" vertical="center"/>
    </xf>
    <xf numFmtId="0" fontId="42" fillId="19" borderId="51" xfId="0" applyFont="1" applyFill="1" applyAlignment="1">
      <alignment horizontal="center" vertical="center"/>
    </xf>
    <xf numFmtId="0" fontId="13" fillId="11" borderId="20" xfId="0" applyFont="1" applyFill="1" applyBorder="1" applyAlignment="1">
      <alignment horizontal="center" vertical="center"/>
    </xf>
    <xf numFmtId="0" fontId="0" fillId="0" borderId="35" xfId="0" applyBorder="1"/>
    <xf numFmtId="0" fontId="0" fillId="0" borderId="36" xfId="0" applyBorder="1"/>
    <xf numFmtId="0" fontId="13" fillId="13" borderId="22" xfId="0" applyFont="1" applyFill="1" applyBorder="1" applyAlignment="1">
      <alignment horizontal="center" vertical="center"/>
    </xf>
    <xf numFmtId="0" fontId="0" fillId="0" borderId="37" xfId="0" applyBorder="1"/>
    <xf numFmtId="0" fontId="0" fillId="0" borderId="38" xfId="0" applyBorder="1"/>
    <xf numFmtId="0" fontId="13" fillId="12" borderId="21" xfId="0" applyFont="1" applyFill="1" applyBorder="1" applyAlignment="1">
      <alignment horizontal="center" vertical="center"/>
    </xf>
    <xf numFmtId="0" fontId="0" fillId="0" borderId="39" xfId="0" applyBorder="1"/>
    <xf numFmtId="0" fontId="13" fillId="15" borderId="24" xfId="0" applyFont="1" applyFill="1" applyBorder="1" applyAlignment="1">
      <alignment horizontal="center" vertical="center"/>
    </xf>
    <xf numFmtId="0" fontId="0" fillId="0" borderId="40" xfId="0" applyBorder="1"/>
    <xf numFmtId="0" fontId="0" fillId="0" borderId="41" xfId="0" applyBorder="1"/>
    <xf numFmtId="0" fontId="12" fillId="18" borderId="51" xfId="0" applyFont="1" applyFill="1" applyAlignment="1">
      <alignment horizontal="center" vertical="center"/>
    </xf>
    <xf numFmtId="0" fontId="13" fillId="14" borderId="23" xfId="0" applyFont="1" applyFill="1" applyBorder="1" applyAlignment="1">
      <alignment horizontal="center" vertical="center"/>
    </xf>
    <xf numFmtId="0" fontId="0" fillId="0" borderId="42" xfId="0" applyBorder="1"/>
    <xf numFmtId="0" fontId="0" fillId="0" borderId="43" xfId="0" applyBorder="1"/>
    <xf numFmtId="0" fontId="13" fillId="18" borderId="19" xfId="0" applyFont="1" applyFill="1" applyBorder="1" applyAlignment="1">
      <alignment horizontal="center" vertical="center"/>
    </xf>
    <xf numFmtId="0" fontId="0" fillId="0" borderId="44" xfId="0" applyBorder="1"/>
    <xf numFmtId="0" fontId="0" fillId="0" borderId="45" xfId="0" applyBorder="1"/>
    <xf numFmtId="0" fontId="15" fillId="11" borderId="3" xfId="0" applyFont="1" applyFill="1" applyBorder="1" applyAlignment="1">
      <alignment horizontal="center" vertical="center"/>
    </xf>
    <xf numFmtId="0" fontId="0" fillId="0" borderId="47" xfId="0" applyBorder="1"/>
    <xf numFmtId="0" fontId="0" fillId="0" borderId="48" xfId="0" applyBorder="1"/>
    <xf numFmtId="0" fontId="13" fillId="18" borderId="51" xfId="0" applyFont="1" applyFill="1" applyAlignment="1">
      <alignment horizontal="center" vertical="center"/>
    </xf>
    <xf numFmtId="0" fontId="15" fillId="14" borderId="4" xfId="0" applyFont="1" applyFill="1" applyBorder="1" applyAlignment="1">
      <alignment horizontal="center" vertical="center"/>
    </xf>
    <xf numFmtId="0" fontId="0" fillId="0" borderId="46" xfId="0" applyBorder="1"/>
    <xf numFmtId="0" fontId="0" fillId="0" borderId="15" xfId="0" applyBorder="1"/>
    <xf numFmtId="0" fontId="0" fillId="14" borderId="15" xfId="0" applyFill="1" applyBorder="1"/>
    <xf numFmtId="0" fontId="0" fillId="15" borderId="5" xfId="0" applyFill="1" applyBorder="1"/>
    <xf numFmtId="0" fontId="0" fillId="0" borderId="50" xfId="0" applyBorder="1"/>
    <xf numFmtId="0" fontId="20" fillId="18" borderId="51" xfId="0" applyFont="1" applyFill="1" applyAlignment="1">
      <alignment horizontal="center" vertical="center"/>
    </xf>
    <xf numFmtId="0" fontId="19" fillId="14" borderId="15" xfId="0" applyFont="1" applyFill="1" applyBorder="1" applyAlignment="1">
      <alignment horizontal="center" vertical="center"/>
    </xf>
    <xf numFmtId="0" fontId="19" fillId="11" borderId="3" xfId="0" applyFont="1" applyFill="1" applyBorder="1" applyAlignment="1">
      <alignment horizontal="center" vertical="center"/>
    </xf>
    <xf numFmtId="0" fontId="36" fillId="6" borderId="1" xfId="0" applyFont="1" applyFill="1" applyBorder="1" applyAlignment="1">
      <alignment horizontal="center" vertical="center"/>
    </xf>
    <xf numFmtId="0" fontId="39" fillId="19" borderId="51" xfId="0" applyFont="1" applyFill="1" applyAlignment="1">
      <alignment horizontal="left" vertical="center" wrapText="1"/>
    </xf>
    <xf numFmtId="0" fontId="37" fillId="8" borderId="1" xfId="0" applyFont="1" applyFill="1" applyBorder="1" applyAlignment="1">
      <alignment horizontal="center" vertical="center"/>
    </xf>
    <xf numFmtId="0" fontId="0" fillId="18" borderId="51" xfId="0" applyFill="1"/>
    <xf numFmtId="0" fontId="18" fillId="14" borderId="15" xfId="0" applyFont="1" applyFill="1" applyBorder="1" applyAlignment="1">
      <alignment horizontal="center" vertical="center"/>
    </xf>
    <xf numFmtId="0" fontId="18" fillId="11" borderId="3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0" fillId="16" borderId="7" xfId="0" applyFill="1" applyBorder="1"/>
    <xf numFmtId="0" fontId="0" fillId="0" borderId="49" xfId="0" applyBorder="1"/>
    <xf numFmtId="0" fontId="11" fillId="3" borderId="12" xfId="0" applyFont="1" applyFill="1" applyBorder="1" applyAlignment="1">
      <alignment horizontal="center" vertical="center"/>
    </xf>
    <xf numFmtId="0" fontId="0" fillId="11" borderId="3" xfId="0" applyFill="1" applyBorder="1"/>
    <xf numFmtId="0" fontId="19" fillId="18" borderId="51" xfId="0" applyFont="1" applyFill="1" applyAlignment="1">
      <alignment horizontal="center" vertical="center"/>
    </xf>
    <xf numFmtId="0" fontId="19" fillId="16" borderId="7" xfId="0" applyFont="1" applyFill="1" applyBorder="1" applyAlignment="1">
      <alignment horizontal="center" vertical="center"/>
    </xf>
    <xf numFmtId="0" fontId="19" fillId="15" borderId="5" xfId="0" applyFont="1" applyFill="1" applyBorder="1" applyAlignment="1">
      <alignment horizontal="center" vertical="center"/>
    </xf>
    <xf numFmtId="0" fontId="35" fillId="7" borderId="1" xfId="0" applyFont="1" applyFill="1" applyBorder="1" applyAlignment="1">
      <alignment horizontal="center" vertical="center"/>
    </xf>
    <xf numFmtId="0" fontId="38" fillId="3" borderId="1" xfId="0" applyFont="1" applyFill="1" applyBorder="1" applyAlignment="1">
      <alignment horizontal="center" vertical="center"/>
    </xf>
    <xf numFmtId="0" fontId="18" fillId="18" borderId="51" xfId="0" applyFont="1" applyFill="1" applyAlignment="1">
      <alignment horizontal="center" vertical="center"/>
    </xf>
    <xf numFmtId="0" fontId="18" fillId="16" borderId="7" xfId="0" applyFont="1" applyFill="1" applyBorder="1" applyAlignment="1">
      <alignment horizontal="center" vertical="center"/>
    </xf>
    <xf numFmtId="0" fontId="18" fillId="15" borderId="5" xfId="0" applyFont="1" applyFill="1" applyBorder="1" applyAlignment="1">
      <alignment horizontal="center" vertical="center"/>
    </xf>
    <xf numFmtId="0" fontId="8" fillId="7" borderId="12" xfId="0" applyFont="1" applyFill="1" applyBorder="1" applyAlignment="1">
      <alignment horizontal="center" vertical="center"/>
    </xf>
    <xf numFmtId="0" fontId="7" fillId="6" borderId="12" xfId="0" applyFont="1" applyFill="1" applyBorder="1" applyAlignment="1">
      <alignment horizontal="center" vertical="center"/>
    </xf>
    <xf numFmtId="0" fontId="17" fillId="19" borderId="51" xfId="0" applyFont="1" applyFill="1" applyAlignment="1">
      <alignment horizontal="center" vertical="center"/>
    </xf>
    <xf numFmtId="0" fontId="43" fillId="10" borderId="1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1-UPB">
  <a:themeElements>
    <a:clrScheme name="UPB">
      <a:dk1>
        <a:srgbClr val="000000"/>
      </a:dk1>
      <a:lt1>
        <a:srgbClr val="FFFFFF"/>
      </a:lt1>
      <a:dk2>
        <a:srgbClr val="000087"/>
      </a:dk2>
      <a:lt2>
        <a:srgbClr val="5882F8"/>
      </a:lt2>
      <a:accent1>
        <a:srgbClr val="D0EB00"/>
      </a:accent1>
      <a:accent2>
        <a:srgbClr val="AD3DFF"/>
      </a:accent2>
      <a:accent3>
        <a:srgbClr val="DF7D00"/>
      </a:accent3>
      <a:accent4>
        <a:srgbClr val="FFCD28"/>
      </a:accent4>
      <a:accent5>
        <a:srgbClr val="E50213"/>
      </a:accent5>
      <a:accent6>
        <a:srgbClr val="7CA7AD"/>
      </a:accent6>
      <a:hlink>
        <a:srgbClr val="000087"/>
      </a:hlink>
      <a:folHlink>
        <a:srgbClr val="FFCD28"/>
      </a:folHlink>
    </a:clrScheme>
    <a:fontScheme name="Roboto">
      <a:majorFont>
        <a:latin typeface="Roboto"/>
        <a:ea typeface=""/>
        <a:cs typeface=""/>
      </a:majorFont>
      <a:minorFont>
        <a:latin typeface="Roboto"/>
        <a:ea typeface=""/>
        <a:cs typeface=""/>
      </a:minorFont>
    </a:fontScheme>
    <a:fmtScheme name="Tema de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Tema1-UPB" id="{A521A89D-A243-1942-A813-F5562B35CD78}" vid="{16195D9E-EAD6-9045-B52E-AAB324770723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showGridLines="0" workbookViewId="0">
      <selection activeCell="C33" sqref="C33"/>
    </sheetView>
  </sheetViews>
  <sheetFormatPr baseColWidth="10" defaultColWidth="8.796875" defaultRowHeight="14.4" x14ac:dyDescent="0.3"/>
  <cols>
    <col min="1" max="2" width="26" customWidth="1"/>
    <col min="3" max="4" width="30" customWidth="1"/>
    <col min="5" max="8" width="20" customWidth="1"/>
  </cols>
  <sheetData>
    <row r="1" spans="1:8" ht="60" customHeight="1" x14ac:dyDescent="0.3">
      <c r="A1" s="68" t="s">
        <v>25</v>
      </c>
      <c r="B1" s="69"/>
      <c r="C1" s="69"/>
      <c r="D1" s="69"/>
      <c r="E1" s="69"/>
      <c r="F1" s="69"/>
      <c r="G1" s="69"/>
      <c r="H1" s="69"/>
    </row>
    <row r="2" spans="1:8" ht="24" customHeight="1" x14ac:dyDescent="0.3">
      <c r="A2" s="82" t="s">
        <v>26</v>
      </c>
      <c r="B2" s="69"/>
      <c r="C2" s="69"/>
      <c r="D2" s="69"/>
      <c r="E2" s="69"/>
      <c r="F2" s="69"/>
      <c r="G2" s="69"/>
      <c r="H2" s="69"/>
    </row>
    <row r="3" spans="1:8" ht="6" customHeight="1" x14ac:dyDescent="0.3"/>
    <row r="4" spans="1:8" x14ac:dyDescent="0.3">
      <c r="A4" s="58" t="s">
        <v>27</v>
      </c>
      <c r="B4" s="59"/>
      <c r="C4" s="59"/>
      <c r="D4" s="59"/>
      <c r="E4" s="59"/>
      <c r="F4" s="59"/>
      <c r="G4" s="59"/>
      <c r="H4" s="60"/>
    </row>
    <row r="5" spans="1:8" x14ac:dyDescent="0.3">
      <c r="A5" s="61" t="s">
        <v>28</v>
      </c>
      <c r="B5" s="73"/>
      <c r="C5" s="73"/>
      <c r="D5" s="73"/>
      <c r="E5" s="73"/>
      <c r="F5" s="73"/>
      <c r="G5" s="73"/>
      <c r="H5" s="74"/>
    </row>
    <row r="6" spans="1:8" x14ac:dyDescent="0.3">
      <c r="A6" s="75"/>
      <c r="B6" s="69"/>
      <c r="C6" s="69"/>
      <c r="D6" s="69"/>
      <c r="E6" s="69"/>
      <c r="F6" s="69"/>
      <c r="G6" s="69"/>
      <c r="H6" s="76"/>
    </row>
    <row r="7" spans="1:8" x14ac:dyDescent="0.3">
      <c r="A7" s="75"/>
      <c r="B7" s="69"/>
      <c r="C7" s="69"/>
      <c r="D7" s="69"/>
      <c r="E7" s="69"/>
      <c r="F7" s="69"/>
      <c r="G7" s="69"/>
      <c r="H7" s="76"/>
    </row>
    <row r="8" spans="1:8" x14ac:dyDescent="0.3">
      <c r="A8" s="77"/>
      <c r="B8" s="78"/>
      <c r="C8" s="78"/>
      <c r="D8" s="78"/>
      <c r="E8" s="78"/>
      <c r="F8" s="78"/>
      <c r="G8" s="78"/>
      <c r="H8" s="79"/>
    </row>
    <row r="9" spans="1:8" x14ac:dyDescent="0.3">
      <c r="A9" s="58" t="s">
        <v>29</v>
      </c>
      <c r="B9" s="59"/>
      <c r="C9" s="59"/>
      <c r="D9" s="59"/>
      <c r="E9" s="59"/>
      <c r="F9" s="59"/>
      <c r="G9" s="59"/>
      <c r="H9" s="60"/>
    </row>
    <row r="10" spans="1:8" ht="22.05" customHeight="1" x14ac:dyDescent="0.3">
      <c r="A10" s="64" t="s">
        <v>30</v>
      </c>
      <c r="B10" s="65"/>
      <c r="C10" s="61" t="s">
        <v>31</v>
      </c>
      <c r="D10" s="59"/>
      <c r="E10" s="59"/>
      <c r="F10" s="59"/>
      <c r="G10" s="59"/>
      <c r="H10" s="60"/>
    </row>
    <row r="11" spans="1:8" ht="22.05" customHeight="1" x14ac:dyDescent="0.3">
      <c r="A11" s="64" t="s">
        <v>32</v>
      </c>
      <c r="B11" s="65"/>
      <c r="C11" s="61" t="s">
        <v>33</v>
      </c>
      <c r="D11" s="59"/>
      <c r="E11" s="59"/>
      <c r="F11" s="59"/>
      <c r="G11" s="59"/>
      <c r="H11" s="60"/>
    </row>
    <row r="12" spans="1:8" ht="22.05" customHeight="1" x14ac:dyDescent="0.3">
      <c r="A12" s="64" t="s">
        <v>34</v>
      </c>
      <c r="B12" s="65"/>
      <c r="C12" s="61" t="s">
        <v>35</v>
      </c>
      <c r="D12" s="59"/>
      <c r="E12" s="59"/>
      <c r="F12" s="59"/>
      <c r="G12" s="59"/>
      <c r="H12" s="60"/>
    </row>
    <row r="13" spans="1:8" ht="22.05" customHeight="1" x14ac:dyDescent="0.3">
      <c r="A13" s="64" t="s">
        <v>36</v>
      </c>
      <c r="B13" s="65"/>
      <c r="C13" s="61" t="s">
        <v>37</v>
      </c>
      <c r="D13" s="59"/>
      <c r="E13" s="59"/>
      <c r="F13" s="59"/>
      <c r="G13" s="59"/>
      <c r="H13" s="60"/>
    </row>
    <row r="14" spans="1:8" ht="22.05" customHeight="1" x14ac:dyDescent="0.3">
      <c r="A14" s="64" t="s">
        <v>38</v>
      </c>
      <c r="B14" s="65"/>
      <c r="C14" s="61" t="s">
        <v>39</v>
      </c>
      <c r="D14" s="59"/>
      <c r="E14" s="59"/>
      <c r="F14" s="59"/>
      <c r="G14" s="59"/>
      <c r="H14" s="60"/>
    </row>
    <row r="15" spans="1:8" ht="7.95" customHeight="1" x14ac:dyDescent="0.3"/>
    <row r="16" spans="1:8" x14ac:dyDescent="0.3">
      <c r="A16" s="63" t="s">
        <v>40</v>
      </c>
      <c r="B16" s="59"/>
      <c r="C16" s="59"/>
      <c r="D16" s="59"/>
      <c r="E16" s="59"/>
      <c r="F16" s="59"/>
      <c r="G16" s="59"/>
      <c r="H16" s="60"/>
    </row>
    <row r="17" spans="1:8" ht="19.95" customHeight="1" x14ac:dyDescent="0.3">
      <c r="A17" s="72" t="s">
        <v>41</v>
      </c>
      <c r="B17" s="59"/>
      <c r="C17" s="60"/>
      <c r="D17" s="62" t="s">
        <v>42</v>
      </c>
      <c r="E17" s="59"/>
      <c r="F17" s="59"/>
      <c r="G17" s="59"/>
      <c r="H17" s="60"/>
    </row>
    <row r="18" spans="1:8" ht="19.95" customHeight="1" x14ac:dyDescent="0.3">
      <c r="A18" s="66" t="s">
        <v>43</v>
      </c>
      <c r="B18" s="59"/>
      <c r="C18" s="60"/>
      <c r="D18" s="62" t="s">
        <v>44</v>
      </c>
      <c r="E18" s="59"/>
      <c r="F18" s="59"/>
      <c r="G18" s="59"/>
      <c r="H18" s="60"/>
    </row>
    <row r="19" spans="1:8" ht="19.95" customHeight="1" x14ac:dyDescent="0.3">
      <c r="A19" s="81" t="s">
        <v>45</v>
      </c>
      <c r="B19" s="59"/>
      <c r="C19" s="60"/>
      <c r="D19" s="62" t="s">
        <v>46</v>
      </c>
      <c r="E19" s="59"/>
      <c r="F19" s="59"/>
      <c r="G19" s="59"/>
      <c r="H19" s="60"/>
    </row>
    <row r="20" spans="1:8" ht="19.95" customHeight="1" x14ac:dyDescent="0.3">
      <c r="A20" s="80" t="s">
        <v>47</v>
      </c>
      <c r="B20" s="59"/>
      <c r="C20" s="60"/>
      <c r="D20" s="62" t="s">
        <v>48</v>
      </c>
      <c r="E20" s="59"/>
      <c r="F20" s="59"/>
      <c r="G20" s="59"/>
      <c r="H20" s="60"/>
    </row>
    <row r="21" spans="1:8" ht="19.95" customHeight="1" x14ac:dyDescent="0.3">
      <c r="A21" s="67" t="s">
        <v>49</v>
      </c>
      <c r="B21" s="59"/>
      <c r="C21" s="60"/>
      <c r="D21" s="62" t="s">
        <v>50</v>
      </c>
      <c r="E21" s="59"/>
      <c r="F21" s="59"/>
      <c r="G21" s="59"/>
      <c r="H21" s="60"/>
    </row>
    <row r="22" spans="1:8" ht="19.95" customHeight="1" x14ac:dyDescent="0.3">
      <c r="A22" s="71" t="s">
        <v>51</v>
      </c>
      <c r="B22" s="59"/>
      <c r="C22" s="60"/>
      <c r="D22" s="62" t="s">
        <v>52</v>
      </c>
      <c r="E22" s="59"/>
      <c r="F22" s="59"/>
      <c r="G22" s="59"/>
      <c r="H22" s="60"/>
    </row>
    <row r="23" spans="1:8" ht="7.95" customHeight="1" x14ac:dyDescent="0.3"/>
    <row r="24" spans="1:8" x14ac:dyDescent="0.3">
      <c r="A24" s="63" t="s">
        <v>53</v>
      </c>
      <c r="B24" s="59"/>
      <c r="C24" s="59"/>
      <c r="D24" s="59"/>
      <c r="E24" s="59"/>
      <c r="F24" s="59"/>
      <c r="G24" s="59"/>
      <c r="H24" s="60"/>
    </row>
    <row r="25" spans="1:8" ht="19.95" customHeight="1" x14ac:dyDescent="0.3">
      <c r="A25" s="70" t="s">
        <v>54</v>
      </c>
      <c r="B25" s="59"/>
      <c r="C25" s="59"/>
      <c r="D25" s="59"/>
      <c r="E25" s="59"/>
      <c r="F25" s="59"/>
      <c r="G25" s="59"/>
      <c r="H25" s="60"/>
    </row>
    <row r="26" spans="1:8" ht="19.95" customHeight="1" x14ac:dyDescent="0.3">
      <c r="A26" s="61" t="s">
        <v>55</v>
      </c>
      <c r="B26" s="59"/>
      <c r="C26" s="59"/>
      <c r="D26" s="59"/>
      <c r="E26" s="59"/>
      <c r="F26" s="59"/>
      <c r="G26" s="59"/>
      <c r="H26" s="60"/>
    </row>
    <row r="27" spans="1:8" ht="19.95" customHeight="1" x14ac:dyDescent="0.3">
      <c r="A27" s="70" t="s">
        <v>56</v>
      </c>
      <c r="B27" s="59"/>
      <c r="C27" s="59"/>
      <c r="D27" s="59"/>
      <c r="E27" s="59"/>
      <c r="F27" s="59"/>
      <c r="G27" s="59"/>
      <c r="H27" s="60"/>
    </row>
    <row r="28" spans="1:8" ht="19.95" customHeight="1" x14ac:dyDescent="0.3">
      <c r="A28" s="61" t="s">
        <v>57</v>
      </c>
      <c r="B28" s="59"/>
      <c r="C28" s="59"/>
      <c r="D28" s="59"/>
      <c r="E28" s="59"/>
      <c r="F28" s="59"/>
      <c r="G28" s="59"/>
      <c r="H28" s="60"/>
    </row>
    <row r="29" spans="1:8" ht="19.95" customHeight="1" x14ac:dyDescent="0.3">
      <c r="A29" s="70" t="s">
        <v>58</v>
      </c>
      <c r="B29" s="59"/>
      <c r="C29" s="59"/>
      <c r="D29" s="59"/>
      <c r="E29" s="59"/>
      <c r="F29" s="59"/>
      <c r="G29" s="59"/>
      <c r="H29" s="60"/>
    </row>
    <row r="30" spans="1:8" ht="19.95" customHeight="1" x14ac:dyDescent="0.3">
      <c r="A30" s="61" t="s">
        <v>59</v>
      </c>
      <c r="B30" s="59"/>
      <c r="C30" s="59"/>
      <c r="D30" s="59"/>
      <c r="E30" s="59"/>
      <c r="F30" s="59"/>
      <c r="G30" s="59"/>
      <c r="H30" s="60"/>
    </row>
    <row r="31" spans="1:8" ht="19.95" customHeight="1" x14ac:dyDescent="0.3">
      <c r="A31" s="70" t="s">
        <v>60</v>
      </c>
      <c r="B31" s="59"/>
      <c r="C31" s="59"/>
      <c r="D31" s="59"/>
      <c r="E31" s="59"/>
      <c r="F31" s="59"/>
      <c r="G31" s="59"/>
      <c r="H31" s="60"/>
    </row>
  </sheetData>
  <mergeCells count="36">
    <mergeCell ref="A31:H31"/>
    <mergeCell ref="A4:H4"/>
    <mergeCell ref="A29:H29"/>
    <mergeCell ref="C14:H14"/>
    <mergeCell ref="A10:B10"/>
    <mergeCell ref="A28:H28"/>
    <mergeCell ref="A13:B13"/>
    <mergeCell ref="A1:H1"/>
    <mergeCell ref="C12:H12"/>
    <mergeCell ref="D22:H22"/>
    <mergeCell ref="C11:H11"/>
    <mergeCell ref="D21:H21"/>
    <mergeCell ref="A16:H16"/>
    <mergeCell ref="A22:C22"/>
    <mergeCell ref="A17:C17"/>
    <mergeCell ref="A5:H8"/>
    <mergeCell ref="A20:C20"/>
    <mergeCell ref="D17:H17"/>
    <mergeCell ref="A12:B12"/>
    <mergeCell ref="A19:C19"/>
    <mergeCell ref="C13:H13"/>
    <mergeCell ref="A2:H2"/>
    <mergeCell ref="A14:B14"/>
    <mergeCell ref="A9:H9"/>
    <mergeCell ref="C10:H10"/>
    <mergeCell ref="A30:H30"/>
    <mergeCell ref="D20:H20"/>
    <mergeCell ref="A24:H24"/>
    <mergeCell ref="A11:B11"/>
    <mergeCell ref="D19:H19"/>
    <mergeCell ref="A18:C18"/>
    <mergeCell ref="A21:C21"/>
    <mergeCell ref="A25:H25"/>
    <mergeCell ref="A27:H27"/>
    <mergeCell ref="A26:H26"/>
    <mergeCell ref="D18:H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6"/>
  <sheetViews>
    <sheetView showGridLines="0" topLeftCell="C1" workbookViewId="0">
      <pane ySplit="2" topLeftCell="A6" activePane="bottomLeft" state="frozen"/>
      <selection pane="bottomLeft" activeCell="R36" sqref="R36"/>
    </sheetView>
  </sheetViews>
  <sheetFormatPr baseColWidth="10" defaultColWidth="8.796875" defaultRowHeight="14.4" x14ac:dyDescent="0.3"/>
  <cols>
    <col min="1" max="1" width="12" customWidth="1"/>
    <col min="2" max="2" width="28" customWidth="1"/>
    <col min="3" max="3" width="12" customWidth="1"/>
    <col min="4" max="4" width="14" customWidth="1"/>
    <col min="5" max="5" width="18" customWidth="1"/>
    <col min="6" max="6" width="12" customWidth="1"/>
    <col min="7" max="7" width="10" customWidth="1"/>
    <col min="8" max="8" width="30" customWidth="1"/>
    <col min="9" max="9" width="16" customWidth="1"/>
    <col min="10" max="10" width="14" customWidth="1"/>
    <col min="11" max="11" width="18" customWidth="1"/>
    <col min="12" max="14" width="14" customWidth="1"/>
    <col min="15" max="15" width="16" customWidth="1"/>
    <col min="16" max="16" width="12" customWidth="1"/>
    <col min="17" max="17" width="14" customWidth="1"/>
    <col min="18" max="18" width="30" customWidth="1"/>
  </cols>
  <sheetData>
    <row r="1" spans="1:18" ht="36" customHeight="1" x14ac:dyDescent="0.3">
      <c r="A1" s="94" t="s">
        <v>61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</row>
    <row r="2" spans="1:18" ht="36" customHeight="1" x14ac:dyDescent="0.3">
      <c r="A2" s="98" t="s">
        <v>62</v>
      </c>
      <c r="B2" s="99"/>
      <c r="C2" s="100"/>
      <c r="D2" s="83" t="s">
        <v>63</v>
      </c>
      <c r="E2" s="84"/>
      <c r="F2" s="85"/>
      <c r="G2" s="89" t="s">
        <v>64</v>
      </c>
      <c r="H2" s="90"/>
      <c r="I2" s="86" t="s">
        <v>65</v>
      </c>
      <c r="J2" s="87"/>
      <c r="K2" s="88"/>
      <c r="L2" s="95" t="s">
        <v>66</v>
      </c>
      <c r="M2" s="96"/>
      <c r="N2" s="97"/>
      <c r="O2" s="91" t="s">
        <v>67</v>
      </c>
      <c r="P2" s="92"/>
      <c r="Q2" s="92"/>
      <c r="R2" s="93"/>
    </row>
    <row r="3" spans="1:18" ht="75" customHeight="1" x14ac:dyDescent="0.3">
      <c r="A3" s="35" t="s">
        <v>68</v>
      </c>
      <c r="B3" s="35" t="s">
        <v>69</v>
      </c>
      <c r="C3" s="35" t="s">
        <v>2</v>
      </c>
      <c r="D3" s="3" t="s">
        <v>70</v>
      </c>
      <c r="E3" s="3" t="s">
        <v>71</v>
      </c>
      <c r="F3" s="3" t="s">
        <v>72</v>
      </c>
      <c r="G3" s="4" t="s">
        <v>73</v>
      </c>
      <c r="H3" s="4" t="s">
        <v>74</v>
      </c>
      <c r="I3" s="5" t="s">
        <v>75</v>
      </c>
      <c r="J3" s="5" t="s">
        <v>76</v>
      </c>
      <c r="K3" s="5" t="s">
        <v>77</v>
      </c>
      <c r="L3" s="6" t="s">
        <v>78</v>
      </c>
      <c r="M3" s="6" t="s">
        <v>79</v>
      </c>
      <c r="N3" s="6" t="s">
        <v>80</v>
      </c>
      <c r="O3" s="7" t="s">
        <v>81</v>
      </c>
      <c r="P3" s="7" t="s">
        <v>82</v>
      </c>
      <c r="Q3" s="7" t="s">
        <v>83</v>
      </c>
      <c r="R3" s="7" t="s">
        <v>84</v>
      </c>
    </row>
    <row r="4" spans="1:18" ht="24" customHeight="1" x14ac:dyDescent="0.3">
      <c r="A4" s="8" t="s">
        <v>85</v>
      </c>
      <c r="B4" s="1" t="s">
        <v>86</v>
      </c>
      <c r="C4" s="9" t="s">
        <v>87</v>
      </c>
      <c r="D4" s="1"/>
      <c r="E4" s="1" t="s">
        <v>88</v>
      </c>
      <c r="F4" s="10" t="s">
        <v>89</v>
      </c>
      <c r="G4" s="9" t="s">
        <v>90</v>
      </c>
      <c r="H4" s="1" t="s">
        <v>91</v>
      </c>
      <c r="I4" s="1"/>
      <c r="J4" s="9"/>
      <c r="K4" s="1"/>
      <c r="L4" s="9" t="s">
        <v>92</v>
      </c>
      <c r="M4" s="14" t="s">
        <v>93</v>
      </c>
      <c r="N4" s="9"/>
      <c r="O4" s="11" t="s">
        <v>94</v>
      </c>
      <c r="P4" s="9"/>
      <c r="Q4" s="9" t="s">
        <v>13</v>
      </c>
      <c r="R4" s="1"/>
    </row>
    <row r="5" spans="1:18" ht="24" customHeight="1" x14ac:dyDescent="0.3">
      <c r="A5" s="12" t="s">
        <v>95</v>
      </c>
      <c r="B5" s="2" t="s">
        <v>96</v>
      </c>
      <c r="C5" s="13" t="s">
        <v>87</v>
      </c>
      <c r="D5" s="2"/>
      <c r="E5" s="2" t="s">
        <v>88</v>
      </c>
      <c r="F5" s="10" t="s">
        <v>89</v>
      </c>
      <c r="G5" s="13" t="s">
        <v>90</v>
      </c>
      <c r="H5" s="2" t="s">
        <v>97</v>
      </c>
      <c r="I5" s="2"/>
      <c r="J5" s="13"/>
      <c r="K5" s="2"/>
      <c r="L5" s="13"/>
      <c r="M5" s="14" t="s">
        <v>93</v>
      </c>
      <c r="N5" s="13"/>
      <c r="O5" s="11" t="s">
        <v>94</v>
      </c>
      <c r="P5" s="13"/>
      <c r="Q5" s="13" t="s">
        <v>13</v>
      </c>
      <c r="R5" s="2"/>
    </row>
    <row r="6" spans="1:18" ht="24" customHeight="1" x14ac:dyDescent="0.3">
      <c r="A6" s="8" t="s">
        <v>98</v>
      </c>
      <c r="B6" s="1" t="s">
        <v>99</v>
      </c>
      <c r="C6" s="9" t="s">
        <v>87</v>
      </c>
      <c r="D6" s="1"/>
      <c r="E6" s="1" t="s">
        <v>88</v>
      </c>
      <c r="F6" s="10" t="s">
        <v>89</v>
      </c>
      <c r="G6" s="9" t="s">
        <v>90</v>
      </c>
      <c r="H6" s="1" t="s">
        <v>100</v>
      </c>
      <c r="I6" s="1"/>
      <c r="J6" s="9"/>
      <c r="K6" s="1"/>
      <c r="L6" s="9"/>
      <c r="M6" s="14" t="s">
        <v>93</v>
      </c>
      <c r="N6" s="9"/>
      <c r="O6" s="11" t="s">
        <v>94</v>
      </c>
      <c r="P6" s="9"/>
      <c r="Q6" s="9" t="s">
        <v>13</v>
      </c>
      <c r="R6" s="1"/>
    </row>
    <row r="7" spans="1:18" ht="24" customHeight="1" x14ac:dyDescent="0.3">
      <c r="A7" s="12" t="s">
        <v>101</v>
      </c>
      <c r="B7" s="2" t="s">
        <v>102</v>
      </c>
      <c r="C7" s="13" t="s">
        <v>87</v>
      </c>
      <c r="D7" s="2"/>
      <c r="E7" s="2" t="s">
        <v>88</v>
      </c>
      <c r="F7" s="10" t="s">
        <v>89</v>
      </c>
      <c r="G7" s="13" t="s">
        <v>90</v>
      </c>
      <c r="H7" s="2" t="s">
        <v>103</v>
      </c>
      <c r="I7" s="2"/>
      <c r="J7" s="13"/>
      <c r="K7" s="2"/>
      <c r="L7" s="13"/>
      <c r="M7" s="14" t="s">
        <v>93</v>
      </c>
      <c r="N7" s="13"/>
      <c r="O7" s="11" t="s">
        <v>94</v>
      </c>
      <c r="P7" s="13"/>
      <c r="Q7" s="13" t="s">
        <v>13</v>
      </c>
      <c r="R7" s="2"/>
    </row>
    <row r="8" spans="1:18" ht="24" customHeight="1" x14ac:dyDescent="0.3">
      <c r="A8" s="8" t="s">
        <v>23</v>
      </c>
      <c r="B8" s="1" t="s">
        <v>104</v>
      </c>
      <c r="C8" s="9" t="s">
        <v>87</v>
      </c>
      <c r="D8" s="1"/>
      <c r="E8" s="1" t="s">
        <v>88</v>
      </c>
      <c r="F8" s="10" t="s">
        <v>89</v>
      </c>
      <c r="G8" s="9" t="s">
        <v>90</v>
      </c>
      <c r="H8" s="1" t="s">
        <v>105</v>
      </c>
      <c r="I8" s="1"/>
      <c r="J8" s="9"/>
      <c r="K8" s="1"/>
      <c r="L8" s="9" t="s">
        <v>106</v>
      </c>
      <c r="M8" s="14" t="s">
        <v>93</v>
      </c>
      <c r="N8" s="9"/>
      <c r="O8" s="11" t="s">
        <v>94</v>
      </c>
      <c r="P8" s="9"/>
      <c r="Q8" s="9" t="s">
        <v>13</v>
      </c>
      <c r="R8" s="1"/>
    </row>
    <row r="9" spans="1:18" ht="24" customHeight="1" x14ac:dyDescent="0.3">
      <c r="A9" s="12" t="s">
        <v>107</v>
      </c>
      <c r="B9" s="2" t="s">
        <v>108</v>
      </c>
      <c r="C9" s="13" t="s">
        <v>87</v>
      </c>
      <c r="D9" s="2"/>
      <c r="E9" s="2" t="s">
        <v>88</v>
      </c>
      <c r="F9" s="10" t="s">
        <v>89</v>
      </c>
      <c r="G9" s="13" t="s">
        <v>90</v>
      </c>
      <c r="H9" s="2" t="s">
        <v>109</v>
      </c>
      <c r="I9" s="2"/>
      <c r="J9" s="13"/>
      <c r="K9" s="2"/>
      <c r="L9" s="13" t="s">
        <v>110</v>
      </c>
      <c r="M9" s="14" t="s">
        <v>93</v>
      </c>
      <c r="N9" s="13"/>
      <c r="O9" s="11" t="s">
        <v>94</v>
      </c>
      <c r="P9" s="13"/>
      <c r="Q9" s="13" t="s">
        <v>13</v>
      </c>
      <c r="R9" s="2"/>
    </row>
    <row r="10" spans="1:18" ht="24" customHeight="1" x14ac:dyDescent="0.3">
      <c r="A10" s="8" t="s">
        <v>111</v>
      </c>
      <c r="B10" s="1" t="s">
        <v>112</v>
      </c>
      <c r="C10" s="9" t="s">
        <v>87</v>
      </c>
      <c r="D10" s="1"/>
      <c r="E10" s="1" t="s">
        <v>88</v>
      </c>
      <c r="F10" s="10" t="s">
        <v>89</v>
      </c>
      <c r="G10" s="9" t="s">
        <v>90</v>
      </c>
      <c r="H10" s="1" t="s">
        <v>113</v>
      </c>
      <c r="I10" s="1"/>
      <c r="J10" s="9"/>
      <c r="K10" s="1"/>
      <c r="L10" s="9"/>
      <c r="M10" s="14" t="s">
        <v>93</v>
      </c>
      <c r="N10" s="9"/>
      <c r="O10" s="11" t="s">
        <v>94</v>
      </c>
      <c r="P10" s="9"/>
      <c r="Q10" s="9" t="s">
        <v>13</v>
      </c>
      <c r="R10" s="1"/>
    </row>
    <row r="11" spans="1:18" ht="24" customHeight="1" x14ac:dyDescent="0.3">
      <c r="A11" s="12" t="s">
        <v>114</v>
      </c>
      <c r="B11" s="2" t="s">
        <v>115</v>
      </c>
      <c r="C11" s="13" t="s">
        <v>87</v>
      </c>
      <c r="D11" s="2"/>
      <c r="E11" s="2" t="s">
        <v>88</v>
      </c>
      <c r="F11" s="10" t="s">
        <v>89</v>
      </c>
      <c r="G11" s="13" t="s">
        <v>90</v>
      </c>
      <c r="H11" s="2" t="s">
        <v>116</v>
      </c>
      <c r="I11" s="2"/>
      <c r="J11" s="13"/>
      <c r="K11" s="2"/>
      <c r="L11" s="13"/>
      <c r="M11" s="14" t="s">
        <v>93</v>
      </c>
      <c r="N11" s="13"/>
      <c r="O11" s="11" t="s">
        <v>94</v>
      </c>
      <c r="P11" s="13"/>
      <c r="Q11" s="13" t="s">
        <v>13</v>
      </c>
      <c r="R11" s="2"/>
    </row>
    <row r="12" spans="1:18" ht="24" customHeight="1" x14ac:dyDescent="0.3">
      <c r="A12" s="8" t="s">
        <v>117</v>
      </c>
      <c r="B12" s="1" t="s">
        <v>118</v>
      </c>
      <c r="C12" s="9" t="s">
        <v>87</v>
      </c>
      <c r="D12" s="1"/>
      <c r="E12" s="1" t="s">
        <v>88</v>
      </c>
      <c r="F12" s="10" t="s">
        <v>89</v>
      </c>
      <c r="G12" s="9" t="s">
        <v>90</v>
      </c>
      <c r="H12" s="1" t="s">
        <v>119</v>
      </c>
      <c r="I12" s="1"/>
      <c r="J12" s="9"/>
      <c r="K12" s="1"/>
      <c r="L12" s="9"/>
      <c r="M12" s="14" t="s">
        <v>93</v>
      </c>
      <c r="N12" s="9"/>
      <c r="O12" s="11" t="s">
        <v>94</v>
      </c>
      <c r="P12" s="9"/>
      <c r="Q12" s="9" t="s">
        <v>13</v>
      </c>
      <c r="R12" s="1"/>
    </row>
    <row r="13" spans="1:18" ht="24" customHeight="1" x14ac:dyDescent="0.3">
      <c r="A13" s="12" t="s">
        <v>120</v>
      </c>
      <c r="B13" s="2" t="s">
        <v>121</v>
      </c>
      <c r="C13" s="13" t="s">
        <v>87</v>
      </c>
      <c r="D13" s="2"/>
      <c r="E13" s="2" t="s">
        <v>88</v>
      </c>
      <c r="F13" s="10" t="s">
        <v>89</v>
      </c>
      <c r="G13" s="13" t="s">
        <v>90</v>
      </c>
      <c r="H13" s="2" t="s">
        <v>122</v>
      </c>
      <c r="I13" s="2"/>
      <c r="J13" s="13"/>
      <c r="K13" s="2"/>
      <c r="L13" s="13"/>
      <c r="M13" s="14" t="s">
        <v>93</v>
      </c>
      <c r="N13" s="13"/>
      <c r="O13" s="11" t="s">
        <v>94</v>
      </c>
      <c r="P13" s="13"/>
      <c r="Q13" s="13" t="s">
        <v>13</v>
      </c>
      <c r="R13" s="2"/>
    </row>
    <row r="14" spans="1:18" ht="24" customHeight="1" x14ac:dyDescent="0.3">
      <c r="A14" s="8" t="s">
        <v>123</v>
      </c>
      <c r="B14" s="1" t="s">
        <v>124</v>
      </c>
      <c r="C14" s="9" t="s">
        <v>87</v>
      </c>
      <c r="D14" s="1"/>
      <c r="E14" s="1" t="s">
        <v>88</v>
      </c>
      <c r="F14" s="10" t="s">
        <v>89</v>
      </c>
      <c r="G14" s="9" t="s">
        <v>90</v>
      </c>
      <c r="H14" s="1" t="s">
        <v>125</v>
      </c>
      <c r="I14" s="1"/>
      <c r="J14" s="9"/>
      <c r="K14" s="1"/>
      <c r="L14" s="9"/>
      <c r="M14" s="14" t="s">
        <v>93</v>
      </c>
      <c r="N14" s="9"/>
      <c r="O14" s="11" t="s">
        <v>94</v>
      </c>
      <c r="P14" s="9"/>
      <c r="Q14" s="9" t="s">
        <v>13</v>
      </c>
      <c r="R14" s="1"/>
    </row>
    <row r="15" spans="1:18" ht="24" customHeight="1" x14ac:dyDescent="0.3">
      <c r="A15" s="12" t="s">
        <v>126</v>
      </c>
      <c r="B15" s="2" t="s">
        <v>127</v>
      </c>
      <c r="C15" s="13" t="s">
        <v>87</v>
      </c>
      <c r="D15" s="2"/>
      <c r="E15" s="2" t="s">
        <v>88</v>
      </c>
      <c r="F15" s="14" t="s">
        <v>128</v>
      </c>
      <c r="G15" s="13" t="s">
        <v>90</v>
      </c>
      <c r="H15" s="2" t="s">
        <v>129</v>
      </c>
      <c r="I15" s="2"/>
      <c r="J15" s="13"/>
      <c r="K15" s="2"/>
      <c r="L15" s="13"/>
      <c r="M15" s="14" t="s">
        <v>93</v>
      </c>
      <c r="N15" s="13"/>
      <c r="O15" s="11" t="s">
        <v>94</v>
      </c>
      <c r="P15" s="13"/>
      <c r="Q15" s="13" t="s">
        <v>13</v>
      </c>
      <c r="R15" s="2"/>
    </row>
    <row r="16" spans="1:18" ht="24" customHeight="1" x14ac:dyDescent="0.3">
      <c r="A16" s="8" t="s">
        <v>130</v>
      </c>
      <c r="B16" s="1" t="s">
        <v>131</v>
      </c>
      <c r="C16" s="9" t="s">
        <v>87</v>
      </c>
      <c r="D16" s="1"/>
      <c r="E16" s="1" t="s">
        <v>88</v>
      </c>
      <c r="F16" s="10" t="s">
        <v>89</v>
      </c>
      <c r="G16" s="9" t="s">
        <v>90</v>
      </c>
      <c r="H16" s="1" t="s">
        <v>132</v>
      </c>
      <c r="I16" s="1"/>
      <c r="J16" s="9"/>
      <c r="K16" s="1"/>
      <c r="L16" s="9"/>
      <c r="M16" s="14" t="s">
        <v>93</v>
      </c>
      <c r="N16" s="9"/>
      <c r="O16" s="11" t="s">
        <v>94</v>
      </c>
      <c r="P16" s="9"/>
      <c r="Q16" s="9" t="s">
        <v>13</v>
      </c>
      <c r="R16" s="1"/>
    </row>
    <row r="17" spans="1:18" ht="24" customHeight="1" x14ac:dyDescent="0.3">
      <c r="A17" s="12" t="s">
        <v>133</v>
      </c>
      <c r="B17" s="2" t="s">
        <v>134</v>
      </c>
      <c r="C17" s="13" t="s">
        <v>87</v>
      </c>
      <c r="D17" s="2"/>
      <c r="E17" s="2" t="s">
        <v>88</v>
      </c>
      <c r="F17" s="10" t="s">
        <v>89</v>
      </c>
      <c r="G17" s="13" t="s">
        <v>90</v>
      </c>
      <c r="H17" s="2" t="s">
        <v>135</v>
      </c>
      <c r="I17" s="2"/>
      <c r="J17" s="13"/>
      <c r="K17" s="2"/>
      <c r="L17" s="13"/>
      <c r="M17" s="14" t="s">
        <v>93</v>
      </c>
      <c r="N17" s="13"/>
      <c r="O17" s="11" t="s">
        <v>94</v>
      </c>
      <c r="P17" s="13"/>
      <c r="Q17" s="13" t="s">
        <v>13</v>
      </c>
      <c r="R17" s="2"/>
    </row>
    <row r="18" spans="1:18" ht="24" customHeight="1" x14ac:dyDescent="0.3">
      <c r="A18" s="8" t="s">
        <v>136</v>
      </c>
      <c r="B18" s="1" t="s">
        <v>137</v>
      </c>
      <c r="C18" s="9" t="s">
        <v>87</v>
      </c>
      <c r="D18" s="1"/>
      <c r="E18" s="1" t="s">
        <v>88</v>
      </c>
      <c r="F18" s="10" t="s">
        <v>89</v>
      </c>
      <c r="G18" s="9" t="s">
        <v>90</v>
      </c>
      <c r="H18" s="1" t="s">
        <v>138</v>
      </c>
      <c r="I18" s="1"/>
      <c r="J18" s="9"/>
      <c r="K18" s="1"/>
      <c r="L18" s="9"/>
      <c r="M18" s="14" t="s">
        <v>93</v>
      </c>
      <c r="N18" s="9"/>
      <c r="O18" s="11" t="s">
        <v>94</v>
      </c>
      <c r="P18" s="9"/>
      <c r="Q18" s="9" t="s">
        <v>13</v>
      </c>
      <c r="R18" s="1"/>
    </row>
    <row r="19" spans="1:18" ht="24" customHeight="1" x14ac:dyDescent="0.3">
      <c r="A19" s="12" t="s">
        <v>139</v>
      </c>
      <c r="B19" s="2" t="s">
        <v>140</v>
      </c>
      <c r="C19" s="13" t="s">
        <v>87</v>
      </c>
      <c r="D19" s="2"/>
      <c r="E19" s="2" t="s">
        <v>88</v>
      </c>
      <c r="F19" s="10" t="s">
        <v>89</v>
      </c>
      <c r="G19" s="13" t="s">
        <v>90</v>
      </c>
      <c r="H19" s="2" t="s">
        <v>141</v>
      </c>
      <c r="I19" s="2"/>
      <c r="J19" s="13"/>
      <c r="K19" s="2"/>
      <c r="L19" s="13"/>
      <c r="M19" s="14" t="s">
        <v>93</v>
      </c>
      <c r="N19" s="13"/>
      <c r="O19" s="11" t="s">
        <v>94</v>
      </c>
      <c r="P19" s="13"/>
      <c r="Q19" s="13" t="s">
        <v>13</v>
      </c>
      <c r="R19" s="2"/>
    </row>
    <row r="20" spans="1:18" ht="24" customHeight="1" x14ac:dyDescent="0.3">
      <c r="A20" s="8" t="s">
        <v>142</v>
      </c>
      <c r="B20" s="1" t="s">
        <v>143</v>
      </c>
      <c r="C20" s="9" t="s">
        <v>87</v>
      </c>
      <c r="D20" s="1"/>
      <c r="E20" s="1" t="s">
        <v>88</v>
      </c>
      <c r="F20" s="10" t="s">
        <v>89</v>
      </c>
      <c r="G20" s="9" t="s">
        <v>90</v>
      </c>
      <c r="H20" s="1" t="s">
        <v>144</v>
      </c>
      <c r="I20" s="1"/>
      <c r="J20" s="9"/>
      <c r="K20" s="1"/>
      <c r="L20" s="9"/>
      <c r="M20" s="14" t="s">
        <v>93</v>
      </c>
      <c r="N20" s="9"/>
      <c r="O20" s="11" t="s">
        <v>94</v>
      </c>
      <c r="P20" s="9"/>
      <c r="Q20" s="9" t="s">
        <v>13</v>
      </c>
      <c r="R20" s="1"/>
    </row>
    <row r="21" spans="1:18" ht="24" customHeight="1" x14ac:dyDescent="0.3">
      <c r="A21" s="12" t="s">
        <v>145</v>
      </c>
      <c r="B21" s="2" t="s">
        <v>146</v>
      </c>
      <c r="C21" s="13" t="s">
        <v>87</v>
      </c>
      <c r="D21" s="2"/>
      <c r="E21" s="2" t="s">
        <v>88</v>
      </c>
      <c r="F21" s="10" t="s">
        <v>89</v>
      </c>
      <c r="G21" s="13" t="s">
        <v>90</v>
      </c>
      <c r="H21" s="2" t="s">
        <v>147</v>
      </c>
      <c r="I21" s="2"/>
      <c r="J21" s="13"/>
      <c r="K21" s="2"/>
      <c r="L21" s="13"/>
      <c r="M21" s="14" t="s">
        <v>93</v>
      </c>
      <c r="N21" s="13"/>
      <c r="O21" s="11" t="s">
        <v>94</v>
      </c>
      <c r="P21" s="13"/>
      <c r="Q21" s="13" t="s">
        <v>13</v>
      </c>
      <c r="R21" s="2"/>
    </row>
    <row r="22" spans="1:18" ht="24" customHeight="1" x14ac:dyDescent="0.3">
      <c r="A22" s="8" t="s">
        <v>148</v>
      </c>
      <c r="B22" s="1" t="s">
        <v>149</v>
      </c>
      <c r="C22" s="9" t="s">
        <v>87</v>
      </c>
      <c r="D22" s="1"/>
      <c r="E22" s="1" t="s">
        <v>88</v>
      </c>
      <c r="F22" s="10" t="s">
        <v>89</v>
      </c>
      <c r="G22" s="9" t="s">
        <v>90</v>
      </c>
      <c r="H22" s="1" t="s">
        <v>150</v>
      </c>
      <c r="I22" s="1"/>
      <c r="J22" s="9"/>
      <c r="K22" s="1"/>
      <c r="L22" s="9"/>
      <c r="M22" s="14" t="s">
        <v>93</v>
      </c>
      <c r="N22" s="9"/>
      <c r="O22" s="11" t="s">
        <v>94</v>
      </c>
      <c r="P22" s="9"/>
      <c r="Q22" s="9" t="s">
        <v>13</v>
      </c>
      <c r="R22" s="1"/>
    </row>
    <row r="23" spans="1:18" ht="24" customHeight="1" x14ac:dyDescent="0.3">
      <c r="A23" s="12" t="s">
        <v>151</v>
      </c>
      <c r="B23" s="2" t="s">
        <v>152</v>
      </c>
      <c r="C23" s="13" t="s">
        <v>153</v>
      </c>
      <c r="D23" s="2"/>
      <c r="E23" s="2" t="s">
        <v>88</v>
      </c>
      <c r="F23" s="10" t="s">
        <v>89</v>
      </c>
      <c r="G23" s="13" t="s">
        <v>90</v>
      </c>
      <c r="H23" s="2" t="s">
        <v>154</v>
      </c>
      <c r="I23" s="2"/>
      <c r="J23" s="13"/>
      <c r="K23" s="2"/>
      <c r="L23" s="13" t="s">
        <v>155</v>
      </c>
      <c r="M23" s="14" t="s">
        <v>93</v>
      </c>
      <c r="N23" s="13"/>
      <c r="O23" s="11" t="s">
        <v>94</v>
      </c>
      <c r="P23" s="13"/>
      <c r="Q23" s="13" t="s">
        <v>13</v>
      </c>
      <c r="R23" s="2"/>
    </row>
    <row r="24" spans="1:18" ht="24" customHeight="1" x14ac:dyDescent="0.3">
      <c r="A24" s="8" t="s">
        <v>156</v>
      </c>
      <c r="B24" s="1" t="s">
        <v>157</v>
      </c>
      <c r="C24" s="9" t="s">
        <v>153</v>
      </c>
      <c r="D24" s="1"/>
      <c r="E24" s="1" t="s">
        <v>88</v>
      </c>
      <c r="F24" s="10" t="s">
        <v>89</v>
      </c>
      <c r="G24" s="9" t="s">
        <v>90</v>
      </c>
      <c r="H24" s="1" t="s">
        <v>158</v>
      </c>
      <c r="I24" s="1"/>
      <c r="J24" s="9"/>
      <c r="K24" s="1"/>
      <c r="L24" s="9"/>
      <c r="M24" s="14" t="s">
        <v>93</v>
      </c>
      <c r="N24" s="9"/>
      <c r="O24" s="11" t="s">
        <v>94</v>
      </c>
      <c r="P24" s="9"/>
      <c r="Q24" s="9" t="s">
        <v>13</v>
      </c>
      <c r="R24" s="1"/>
    </row>
    <row r="25" spans="1:18" ht="24" customHeight="1" x14ac:dyDescent="0.3">
      <c r="A25" s="12" t="s">
        <v>159</v>
      </c>
      <c r="B25" s="2" t="s">
        <v>160</v>
      </c>
      <c r="C25" s="13" t="s">
        <v>153</v>
      </c>
      <c r="D25" s="2"/>
      <c r="E25" s="2" t="s">
        <v>88</v>
      </c>
      <c r="F25" s="14" t="s">
        <v>128</v>
      </c>
      <c r="G25" s="13" t="s">
        <v>90</v>
      </c>
      <c r="H25" s="2" t="s">
        <v>161</v>
      </c>
      <c r="I25" s="2"/>
      <c r="J25" s="13"/>
      <c r="K25" s="2"/>
      <c r="L25" s="13"/>
      <c r="M25" s="14" t="s">
        <v>93</v>
      </c>
      <c r="N25" s="13"/>
      <c r="O25" s="11" t="s">
        <v>94</v>
      </c>
      <c r="P25" s="13"/>
      <c r="Q25" s="13" t="s">
        <v>13</v>
      </c>
      <c r="R25" s="2"/>
    </row>
    <row r="26" spans="1:18" ht="24" customHeight="1" x14ac:dyDescent="0.3">
      <c r="A26" s="8" t="s">
        <v>162</v>
      </c>
      <c r="B26" s="1" t="s">
        <v>163</v>
      </c>
      <c r="C26" s="9" t="s">
        <v>153</v>
      </c>
      <c r="D26" s="1"/>
      <c r="E26" s="1" t="s">
        <v>88</v>
      </c>
      <c r="F26" s="14" t="s">
        <v>128</v>
      </c>
      <c r="G26" s="9" t="s">
        <v>90</v>
      </c>
      <c r="H26" s="1" t="s">
        <v>164</v>
      </c>
      <c r="I26" s="1"/>
      <c r="J26" s="9"/>
      <c r="K26" s="1"/>
      <c r="L26" s="9"/>
      <c r="M26" s="14" t="s">
        <v>93</v>
      </c>
      <c r="N26" s="9"/>
      <c r="O26" s="11" t="s">
        <v>94</v>
      </c>
      <c r="P26" s="9"/>
      <c r="Q26" s="9" t="s">
        <v>13</v>
      </c>
      <c r="R26" s="1"/>
    </row>
    <row r="27" spans="1:18" ht="24" customHeight="1" x14ac:dyDescent="0.3">
      <c r="A27" s="12" t="s">
        <v>165</v>
      </c>
      <c r="B27" s="2" t="s">
        <v>166</v>
      </c>
      <c r="C27" s="13" t="s">
        <v>167</v>
      </c>
      <c r="D27" s="2"/>
      <c r="E27" s="2" t="s">
        <v>88</v>
      </c>
      <c r="F27" s="10" t="s">
        <v>89</v>
      </c>
      <c r="G27" s="13" t="s">
        <v>90</v>
      </c>
      <c r="H27" s="2" t="s">
        <v>168</v>
      </c>
      <c r="I27" s="2"/>
      <c r="J27" s="13"/>
      <c r="K27" s="2"/>
      <c r="L27" s="13"/>
      <c r="M27" s="14" t="s">
        <v>93</v>
      </c>
      <c r="N27" s="13"/>
      <c r="O27" s="11" t="s">
        <v>94</v>
      </c>
      <c r="P27" s="13"/>
      <c r="Q27" s="13" t="s">
        <v>13</v>
      </c>
      <c r="R27" s="2"/>
    </row>
    <row r="28" spans="1:18" ht="24" customHeight="1" x14ac:dyDescent="0.3">
      <c r="A28" s="8" t="s">
        <v>169</v>
      </c>
      <c r="B28" s="1" t="s">
        <v>170</v>
      </c>
      <c r="C28" s="9" t="s">
        <v>167</v>
      </c>
      <c r="D28" s="1"/>
      <c r="E28" s="1" t="s">
        <v>88</v>
      </c>
      <c r="F28" s="10" t="s">
        <v>89</v>
      </c>
      <c r="G28" s="9" t="s">
        <v>90</v>
      </c>
      <c r="H28" s="1" t="s">
        <v>171</v>
      </c>
      <c r="I28" s="1"/>
      <c r="J28" s="9"/>
      <c r="K28" s="1"/>
      <c r="L28" s="9"/>
      <c r="M28" s="14" t="s">
        <v>93</v>
      </c>
      <c r="N28" s="9"/>
      <c r="O28" s="11" t="s">
        <v>94</v>
      </c>
      <c r="P28" s="9"/>
      <c r="Q28" s="9" t="s">
        <v>13</v>
      </c>
      <c r="R28" s="1"/>
    </row>
    <row r="29" spans="1:18" ht="24" customHeight="1" x14ac:dyDescent="0.3">
      <c r="A29" s="12" t="s">
        <v>172</v>
      </c>
      <c r="B29" s="2" t="s">
        <v>173</v>
      </c>
      <c r="C29" s="13" t="s">
        <v>167</v>
      </c>
      <c r="D29" s="2"/>
      <c r="E29" s="2" t="s">
        <v>88</v>
      </c>
      <c r="F29" s="10" t="s">
        <v>89</v>
      </c>
      <c r="G29" s="13" t="s">
        <v>90</v>
      </c>
      <c r="H29" s="2" t="s">
        <v>174</v>
      </c>
      <c r="I29" s="2"/>
      <c r="J29" s="13"/>
      <c r="K29" s="2"/>
      <c r="L29" s="13"/>
      <c r="M29" s="14" t="s">
        <v>93</v>
      </c>
      <c r="N29" s="13"/>
      <c r="O29" s="11" t="s">
        <v>94</v>
      </c>
      <c r="P29" s="13"/>
      <c r="Q29" s="13" t="s">
        <v>13</v>
      </c>
      <c r="R29" s="2"/>
    </row>
    <row r="30" spans="1:18" ht="24" customHeight="1" x14ac:dyDescent="0.3">
      <c r="A30" s="8" t="s">
        <v>175</v>
      </c>
      <c r="B30" s="1" t="s">
        <v>176</v>
      </c>
      <c r="C30" s="9" t="s">
        <v>177</v>
      </c>
      <c r="D30" s="1"/>
      <c r="E30" s="1" t="s">
        <v>88</v>
      </c>
      <c r="F30" s="14" t="s">
        <v>128</v>
      </c>
      <c r="G30" s="9" t="s">
        <v>90</v>
      </c>
      <c r="H30" s="1" t="s">
        <v>178</v>
      </c>
      <c r="I30" s="1"/>
      <c r="J30" s="9"/>
      <c r="K30" s="1"/>
      <c r="L30" s="9" t="s">
        <v>179</v>
      </c>
      <c r="M30" s="14" t="s">
        <v>93</v>
      </c>
      <c r="N30" s="9"/>
      <c r="O30" s="11" t="s">
        <v>94</v>
      </c>
      <c r="P30" s="9"/>
      <c r="Q30" s="9" t="s">
        <v>13</v>
      </c>
      <c r="R30" s="1"/>
    </row>
    <row r="31" spans="1:18" ht="24" customHeight="1" x14ac:dyDescent="0.3">
      <c r="A31" s="12" t="s">
        <v>180</v>
      </c>
      <c r="B31" s="2" t="s">
        <v>181</v>
      </c>
      <c r="C31" s="13" t="s">
        <v>177</v>
      </c>
      <c r="D31" s="2"/>
      <c r="E31" s="2" t="s">
        <v>88</v>
      </c>
      <c r="F31" s="14" t="s">
        <v>128</v>
      </c>
      <c r="G31" s="13" t="s">
        <v>90</v>
      </c>
      <c r="H31" s="2" t="s">
        <v>182</v>
      </c>
      <c r="I31" s="2"/>
      <c r="J31" s="13"/>
      <c r="K31" s="2"/>
      <c r="L31" s="13"/>
      <c r="M31" s="14" t="s">
        <v>93</v>
      </c>
      <c r="N31" s="13"/>
      <c r="O31" s="11" t="s">
        <v>94</v>
      </c>
      <c r="P31" s="13"/>
      <c r="Q31" s="13" t="s">
        <v>13</v>
      </c>
      <c r="R31" s="2"/>
    </row>
    <row r="32" spans="1:18" ht="24" customHeight="1" x14ac:dyDescent="0.3">
      <c r="A32" s="8" t="s">
        <v>183</v>
      </c>
      <c r="B32" s="1" t="s">
        <v>184</v>
      </c>
      <c r="C32" s="9" t="s">
        <v>185</v>
      </c>
      <c r="D32" s="1"/>
      <c r="E32" s="1" t="s">
        <v>88</v>
      </c>
      <c r="F32" s="14" t="s">
        <v>128</v>
      </c>
      <c r="G32" s="9" t="s">
        <v>90</v>
      </c>
      <c r="H32" s="1" t="s">
        <v>186</v>
      </c>
      <c r="I32" s="1"/>
      <c r="J32" s="9"/>
      <c r="K32" s="1"/>
      <c r="L32" s="9"/>
      <c r="M32" s="14" t="s">
        <v>93</v>
      </c>
      <c r="N32" s="9"/>
      <c r="O32" s="11" t="s">
        <v>94</v>
      </c>
      <c r="P32" s="9"/>
      <c r="Q32" s="9" t="s">
        <v>13</v>
      </c>
      <c r="R32" s="1"/>
    </row>
    <row r="33" spans="1:18" ht="24" customHeight="1" x14ac:dyDescent="0.3">
      <c r="A33" s="12" t="s">
        <v>187</v>
      </c>
      <c r="B33" s="2" t="s">
        <v>188</v>
      </c>
      <c r="C33" s="13" t="s">
        <v>185</v>
      </c>
      <c r="D33" s="2"/>
      <c r="E33" s="2" t="s">
        <v>88</v>
      </c>
      <c r="F33" s="10" t="s">
        <v>89</v>
      </c>
      <c r="G33" s="13" t="s">
        <v>90</v>
      </c>
      <c r="H33" s="2" t="s">
        <v>189</v>
      </c>
      <c r="I33" s="2"/>
      <c r="J33" s="13"/>
      <c r="K33" s="2"/>
      <c r="L33" s="13"/>
      <c r="M33" s="14" t="s">
        <v>93</v>
      </c>
      <c r="N33" s="13"/>
      <c r="O33" s="11" t="s">
        <v>94</v>
      </c>
      <c r="P33" s="13"/>
      <c r="Q33" s="13" t="s">
        <v>13</v>
      </c>
      <c r="R33" s="2"/>
    </row>
    <row r="34" spans="1:18" ht="24" customHeight="1" x14ac:dyDescent="0.3">
      <c r="A34" s="8" t="s">
        <v>190</v>
      </c>
      <c r="B34" s="1" t="s">
        <v>191</v>
      </c>
      <c r="C34" s="9" t="s">
        <v>192</v>
      </c>
      <c r="D34" s="1"/>
      <c r="E34" s="1" t="s">
        <v>88</v>
      </c>
      <c r="F34" s="14" t="s">
        <v>128</v>
      </c>
      <c r="G34" s="9" t="s">
        <v>90</v>
      </c>
      <c r="H34" s="1" t="s">
        <v>193</v>
      </c>
      <c r="I34" s="1"/>
      <c r="J34" s="9"/>
      <c r="K34" s="1"/>
      <c r="L34" s="9"/>
      <c r="M34" s="14" t="s">
        <v>93</v>
      </c>
      <c r="N34" s="9"/>
      <c r="O34" s="11" t="s">
        <v>94</v>
      </c>
      <c r="P34" s="9"/>
      <c r="Q34" s="9" t="s">
        <v>13</v>
      </c>
      <c r="R34" s="1"/>
    </row>
    <row r="35" spans="1:18" ht="24" customHeight="1" x14ac:dyDescent="0.3">
      <c r="A35" s="12" t="s">
        <v>194</v>
      </c>
      <c r="B35" s="2" t="s">
        <v>195</v>
      </c>
      <c r="C35" s="13" t="s">
        <v>192</v>
      </c>
      <c r="D35" s="2"/>
      <c r="E35" s="2" t="s">
        <v>88</v>
      </c>
      <c r="F35" s="14" t="s">
        <v>128</v>
      </c>
      <c r="G35" s="13" t="s">
        <v>90</v>
      </c>
      <c r="H35" s="2" t="s">
        <v>196</v>
      </c>
      <c r="I35" s="2"/>
      <c r="J35" s="13"/>
      <c r="K35" s="2"/>
      <c r="L35" s="13"/>
      <c r="M35" s="14" t="s">
        <v>93</v>
      </c>
      <c r="N35" s="13"/>
      <c r="O35" s="11" t="s">
        <v>94</v>
      </c>
      <c r="P35" s="13"/>
      <c r="Q35" s="13" t="s">
        <v>13</v>
      </c>
      <c r="R35" s="2"/>
    </row>
    <row r="36" spans="1:18" ht="24" customHeight="1" x14ac:dyDescent="0.3">
      <c r="A36" s="8" t="s">
        <v>197</v>
      </c>
      <c r="B36" s="1" t="s">
        <v>198</v>
      </c>
      <c r="C36" s="9" t="s">
        <v>192</v>
      </c>
      <c r="D36" s="1"/>
      <c r="E36" s="1" t="s">
        <v>88</v>
      </c>
      <c r="F36" s="14" t="s">
        <v>128</v>
      </c>
      <c r="G36" s="9" t="s">
        <v>90</v>
      </c>
      <c r="H36" s="1" t="s">
        <v>199</v>
      </c>
      <c r="I36" s="1"/>
      <c r="J36" s="9"/>
      <c r="K36" s="1"/>
      <c r="L36" s="9"/>
      <c r="M36" s="14" t="s">
        <v>93</v>
      </c>
      <c r="N36" s="9"/>
      <c r="O36" s="11" t="s">
        <v>94</v>
      </c>
      <c r="P36" s="9"/>
      <c r="Q36" s="9" t="s">
        <v>13</v>
      </c>
      <c r="R36" s="1"/>
    </row>
  </sheetData>
  <mergeCells count="7">
    <mergeCell ref="D2:F2"/>
    <mergeCell ref="I2:K2"/>
    <mergeCell ref="G2:H2"/>
    <mergeCell ref="O2:R2"/>
    <mergeCell ref="A1:R1"/>
    <mergeCell ref="L2:N2"/>
    <mergeCell ref="A2:C2"/>
  </mergeCells>
  <dataValidations count="4">
    <dataValidation type="list" allowBlank="1" sqref="C4:C103" xr:uid="{00000000-0002-0000-0100-000000000000}">
      <formula1>"Funcional,No funcional,Restricción,Interfaz,Rendimiento,Seguridad,Fiabilidad,Disponibilidad,Mantenibilidad,Portabilidad"</formula1>
    </dataValidation>
    <dataValidation type="list" allowBlank="1" sqref="F4:F103" xr:uid="{00000000-0002-0000-0100-000001000000}">
      <formula1>"Must have,Should have,Could have,Won't have"</formula1>
    </dataValidation>
    <dataValidation type="list" allowBlank="1" sqref="M4:M103" xr:uid="{00000000-0002-0000-0100-000002000000}">
      <formula1>"Pasado,Fallido,Bloqueado,Pendiente,N/A"</formula1>
    </dataValidation>
    <dataValidation type="list" allowBlank="1" sqref="O4:O103" xr:uid="{00000000-0002-0000-0100-000003000000}">
      <formula1>"Propuesto,Aprobado,En desarrollo,Implementado,Verificado,Aplazado,Rechazado,Archivado"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40"/>
  <sheetViews>
    <sheetView showGridLines="0" workbookViewId="0">
      <pane xSplit="2" ySplit="3" topLeftCell="C31" activePane="bottomRight" state="frozen"/>
      <selection pane="topRight"/>
      <selection pane="bottomLeft"/>
      <selection pane="bottomRight" activeCell="G2" sqref="G2:K2"/>
    </sheetView>
  </sheetViews>
  <sheetFormatPr baseColWidth="10" defaultColWidth="8.796875" defaultRowHeight="14.4" x14ac:dyDescent="0.3"/>
  <cols>
    <col min="1" max="1" width="12" customWidth="1"/>
    <col min="2" max="2" width="26" customWidth="1"/>
    <col min="3" max="14" width="11" customWidth="1"/>
  </cols>
  <sheetData>
    <row r="1" spans="1:18" ht="36" customHeight="1" x14ac:dyDescent="0.3">
      <c r="A1" s="94" t="s">
        <v>200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54"/>
      <c r="M1" s="54"/>
      <c r="N1" s="54"/>
      <c r="O1" s="54"/>
      <c r="P1" s="54"/>
      <c r="Q1" s="54"/>
      <c r="R1" s="54"/>
    </row>
    <row r="2" spans="1:18" ht="18" customHeight="1" x14ac:dyDescent="0.3">
      <c r="A2" s="34"/>
      <c r="B2" s="34"/>
      <c r="C2" s="101" t="s">
        <v>201</v>
      </c>
      <c r="D2" s="102"/>
      <c r="E2" s="102"/>
      <c r="F2" s="103"/>
      <c r="G2" s="105" t="s">
        <v>202</v>
      </c>
      <c r="H2" s="106"/>
      <c r="I2" s="106"/>
      <c r="J2" s="106"/>
      <c r="K2" s="107"/>
      <c r="L2" s="54"/>
      <c r="M2" s="54"/>
      <c r="N2" s="54"/>
      <c r="O2" s="54"/>
      <c r="P2" s="54"/>
      <c r="Q2" s="54"/>
      <c r="R2" s="54"/>
    </row>
    <row r="3" spans="1:18" ht="78" customHeight="1" x14ac:dyDescent="0.3">
      <c r="A3" s="36" t="s">
        <v>203</v>
      </c>
      <c r="B3" s="36" t="s">
        <v>204</v>
      </c>
      <c r="C3" s="16" t="s">
        <v>205</v>
      </c>
      <c r="D3" s="16" t="s">
        <v>206</v>
      </c>
      <c r="E3" s="16" t="s">
        <v>207</v>
      </c>
      <c r="F3" s="16" t="s">
        <v>208</v>
      </c>
      <c r="G3" s="17" t="s">
        <v>209</v>
      </c>
      <c r="H3" s="17" t="s">
        <v>210</v>
      </c>
      <c r="I3" s="17" t="s">
        <v>211</v>
      </c>
      <c r="J3" s="17" t="s">
        <v>212</v>
      </c>
      <c r="K3" s="17" t="s">
        <v>213</v>
      </c>
      <c r="L3" s="54"/>
      <c r="M3" s="54"/>
      <c r="N3" s="54"/>
      <c r="O3" s="54"/>
      <c r="P3" s="54"/>
      <c r="Q3" s="54"/>
      <c r="R3" s="54"/>
    </row>
    <row r="4" spans="1:18" ht="19.95" customHeight="1" x14ac:dyDescent="0.3">
      <c r="A4" s="18" t="s">
        <v>85</v>
      </c>
      <c r="B4" s="19" t="s">
        <v>86</v>
      </c>
      <c r="C4" s="20" t="s">
        <v>214</v>
      </c>
      <c r="D4" s="20" t="s">
        <v>214</v>
      </c>
      <c r="E4" s="21"/>
      <c r="F4" s="21"/>
      <c r="G4" s="20" t="s">
        <v>214</v>
      </c>
      <c r="H4" s="21"/>
      <c r="I4" s="21"/>
      <c r="J4" s="21"/>
      <c r="K4" s="21"/>
      <c r="L4" s="54"/>
      <c r="M4" s="54"/>
      <c r="N4" s="54"/>
      <c r="O4" s="54"/>
      <c r="P4" s="54"/>
      <c r="Q4" s="54"/>
      <c r="R4" s="54"/>
    </row>
    <row r="5" spans="1:18" ht="19.95" customHeight="1" x14ac:dyDescent="0.3">
      <c r="A5" s="18" t="s">
        <v>95</v>
      </c>
      <c r="B5" s="22" t="s">
        <v>96</v>
      </c>
      <c r="C5" s="20" t="s">
        <v>214</v>
      </c>
      <c r="D5" s="20" t="s">
        <v>214</v>
      </c>
      <c r="E5" s="23"/>
      <c r="F5" s="23"/>
      <c r="G5" s="23"/>
      <c r="H5" s="23"/>
      <c r="I5" s="23"/>
      <c r="J5" s="23"/>
      <c r="K5" s="23"/>
      <c r="L5" s="54"/>
      <c r="M5" s="54"/>
      <c r="N5" s="54"/>
      <c r="O5" s="54"/>
      <c r="P5" s="54"/>
      <c r="Q5" s="54"/>
      <c r="R5" s="54"/>
    </row>
    <row r="6" spans="1:18" ht="19.95" customHeight="1" x14ac:dyDescent="0.3">
      <c r="A6" s="18" t="s">
        <v>98</v>
      </c>
      <c r="B6" s="19" t="s">
        <v>99</v>
      </c>
      <c r="C6" s="20" t="s">
        <v>214</v>
      </c>
      <c r="D6" s="21"/>
      <c r="E6" s="21"/>
      <c r="F6" s="21"/>
      <c r="G6" s="21"/>
      <c r="H6" s="21"/>
      <c r="I6" s="21"/>
      <c r="J6" s="21"/>
      <c r="K6" s="21"/>
      <c r="L6" s="54"/>
      <c r="M6" s="54"/>
      <c r="N6" s="54"/>
      <c r="O6" s="54"/>
      <c r="P6" s="54"/>
      <c r="Q6" s="54"/>
      <c r="R6" s="54"/>
    </row>
    <row r="7" spans="1:18" ht="19.95" customHeight="1" x14ac:dyDescent="0.3">
      <c r="A7" s="18" t="s">
        <v>101</v>
      </c>
      <c r="B7" s="22" t="s">
        <v>102</v>
      </c>
      <c r="C7" s="20" t="s">
        <v>214</v>
      </c>
      <c r="D7" s="23"/>
      <c r="E7" s="23"/>
      <c r="F7" s="23"/>
      <c r="G7" s="23"/>
      <c r="H7" s="23"/>
      <c r="I7" s="23"/>
      <c r="J7" s="23"/>
      <c r="K7" s="23"/>
      <c r="L7" s="54"/>
      <c r="M7" s="54"/>
      <c r="N7" s="54"/>
      <c r="O7" s="54"/>
      <c r="P7" s="54"/>
      <c r="Q7" s="54"/>
      <c r="R7" s="54"/>
    </row>
    <row r="8" spans="1:18" ht="19.95" customHeight="1" x14ac:dyDescent="0.3">
      <c r="A8" s="18" t="s">
        <v>23</v>
      </c>
      <c r="B8" s="19" t="s">
        <v>215</v>
      </c>
      <c r="C8" s="20" t="s">
        <v>214</v>
      </c>
      <c r="D8" s="20" t="s">
        <v>214</v>
      </c>
      <c r="E8" s="20" t="s">
        <v>214</v>
      </c>
      <c r="F8" s="20" t="s">
        <v>214</v>
      </c>
      <c r="G8" s="21"/>
      <c r="H8" s="20" t="s">
        <v>214</v>
      </c>
      <c r="I8" s="21"/>
      <c r="J8" s="21"/>
      <c r="K8" s="21"/>
      <c r="L8" s="54"/>
      <c r="M8" s="54"/>
      <c r="N8" s="54"/>
      <c r="O8" s="54"/>
      <c r="P8" s="54"/>
      <c r="Q8" s="54"/>
      <c r="R8" s="54"/>
    </row>
    <row r="9" spans="1:18" ht="19.95" customHeight="1" x14ac:dyDescent="0.3">
      <c r="A9" s="18" t="s">
        <v>107</v>
      </c>
      <c r="B9" s="22" t="s">
        <v>216</v>
      </c>
      <c r="C9" s="20" t="s">
        <v>214</v>
      </c>
      <c r="D9" s="20" t="s">
        <v>214</v>
      </c>
      <c r="E9" s="20" t="s">
        <v>214</v>
      </c>
      <c r="F9" s="23"/>
      <c r="G9" s="23"/>
      <c r="H9" s="23"/>
      <c r="I9" s="20" t="s">
        <v>214</v>
      </c>
      <c r="J9" s="23"/>
      <c r="K9" s="23"/>
      <c r="L9" s="54"/>
      <c r="M9" s="54"/>
      <c r="N9" s="54"/>
      <c r="O9" s="54"/>
      <c r="P9" s="54"/>
      <c r="Q9" s="54"/>
      <c r="R9" s="54"/>
    </row>
    <row r="10" spans="1:18" ht="19.95" customHeight="1" x14ac:dyDescent="0.3">
      <c r="A10" s="18" t="s">
        <v>111</v>
      </c>
      <c r="B10" s="19" t="s">
        <v>112</v>
      </c>
      <c r="C10" s="20" t="s">
        <v>214</v>
      </c>
      <c r="D10" s="21"/>
      <c r="E10" s="21"/>
      <c r="F10" s="21"/>
      <c r="G10" s="21"/>
      <c r="H10" s="21"/>
      <c r="I10" s="21"/>
      <c r="J10" s="21"/>
      <c r="K10" s="21"/>
      <c r="L10" s="54"/>
      <c r="M10" s="54"/>
      <c r="N10" s="54"/>
      <c r="O10" s="54"/>
      <c r="P10" s="54"/>
      <c r="Q10" s="54"/>
      <c r="R10" s="54"/>
    </row>
    <row r="11" spans="1:18" ht="19.95" customHeight="1" x14ac:dyDescent="0.3">
      <c r="A11" s="18" t="s">
        <v>114</v>
      </c>
      <c r="B11" s="22" t="s">
        <v>217</v>
      </c>
      <c r="C11" s="20" t="s">
        <v>214</v>
      </c>
      <c r="D11" s="23"/>
      <c r="E11" s="23"/>
      <c r="F11" s="23"/>
      <c r="G11" s="23"/>
      <c r="H11" s="23"/>
      <c r="I11" s="23"/>
      <c r="J11" s="23"/>
      <c r="K11" s="23"/>
      <c r="L11" s="54"/>
      <c r="M11" s="54"/>
      <c r="N11" s="54"/>
      <c r="O11" s="54"/>
      <c r="P11" s="54"/>
      <c r="Q11" s="54"/>
      <c r="R11" s="54"/>
    </row>
    <row r="12" spans="1:18" ht="19.95" customHeight="1" x14ac:dyDescent="0.3">
      <c r="A12" s="18" t="s">
        <v>117</v>
      </c>
      <c r="B12" s="19" t="s">
        <v>118</v>
      </c>
      <c r="C12" s="20" t="s">
        <v>214</v>
      </c>
      <c r="D12" s="21"/>
      <c r="E12" s="21"/>
      <c r="F12" s="21"/>
      <c r="G12" s="21"/>
      <c r="H12" s="21"/>
      <c r="I12" s="21"/>
      <c r="J12" s="21"/>
      <c r="K12" s="21"/>
      <c r="L12" s="54"/>
      <c r="M12" s="54"/>
      <c r="N12" s="54"/>
      <c r="O12" s="54"/>
      <c r="P12" s="54"/>
      <c r="Q12" s="54"/>
      <c r="R12" s="54"/>
    </row>
    <row r="13" spans="1:18" ht="19.95" customHeight="1" x14ac:dyDescent="0.3">
      <c r="A13" s="18" t="s">
        <v>120</v>
      </c>
      <c r="B13" s="22" t="s">
        <v>218</v>
      </c>
      <c r="C13" s="20" t="s">
        <v>214</v>
      </c>
      <c r="D13" s="23"/>
      <c r="E13" s="23"/>
      <c r="F13" s="23"/>
      <c r="G13" s="23"/>
      <c r="H13" s="23"/>
      <c r="I13" s="23"/>
      <c r="J13" s="23"/>
      <c r="K13" s="23"/>
      <c r="L13" s="54"/>
      <c r="M13" s="54"/>
      <c r="N13" s="54"/>
      <c r="O13" s="54"/>
      <c r="P13" s="54"/>
      <c r="Q13" s="54"/>
      <c r="R13" s="54"/>
    </row>
    <row r="14" spans="1:18" ht="19.95" customHeight="1" x14ac:dyDescent="0.3">
      <c r="A14" s="18" t="s">
        <v>123</v>
      </c>
      <c r="B14" s="19" t="s">
        <v>124</v>
      </c>
      <c r="C14" s="20" t="s">
        <v>214</v>
      </c>
      <c r="D14" s="21"/>
      <c r="E14" s="21"/>
      <c r="F14" s="21"/>
      <c r="G14" s="21"/>
      <c r="H14" s="21"/>
      <c r="I14" s="21"/>
      <c r="J14" s="21"/>
      <c r="K14" s="21"/>
      <c r="L14" s="54"/>
      <c r="M14" s="54"/>
      <c r="N14" s="54"/>
      <c r="O14" s="54"/>
      <c r="P14" s="54"/>
      <c r="Q14" s="54"/>
      <c r="R14" s="54"/>
    </row>
    <row r="15" spans="1:18" ht="19.95" customHeight="1" x14ac:dyDescent="0.3">
      <c r="A15" s="18" t="s">
        <v>126</v>
      </c>
      <c r="B15" s="22" t="s">
        <v>219</v>
      </c>
      <c r="C15" s="23"/>
      <c r="D15" s="23"/>
      <c r="E15" s="23"/>
      <c r="F15" s="23"/>
      <c r="G15" s="23"/>
      <c r="H15" s="23"/>
      <c r="I15" s="23"/>
      <c r="J15" s="23"/>
      <c r="K15" s="23"/>
      <c r="L15" s="54"/>
      <c r="M15" s="54"/>
      <c r="N15" s="54"/>
      <c r="O15" s="54"/>
      <c r="P15" s="54"/>
      <c r="Q15" s="54"/>
      <c r="R15" s="54"/>
    </row>
    <row r="16" spans="1:18" ht="19.95" customHeight="1" x14ac:dyDescent="0.3">
      <c r="A16" s="18" t="s">
        <v>130</v>
      </c>
      <c r="B16" s="19" t="s">
        <v>131</v>
      </c>
      <c r="C16" s="20" t="s">
        <v>214</v>
      </c>
      <c r="D16" s="21"/>
      <c r="E16" s="21"/>
      <c r="F16" s="21"/>
      <c r="G16" s="21"/>
      <c r="H16" s="21"/>
      <c r="I16" s="21"/>
      <c r="J16" s="21"/>
      <c r="K16" s="21"/>
      <c r="L16" s="54"/>
      <c r="M16" s="54"/>
      <c r="N16" s="54"/>
      <c r="O16" s="54"/>
      <c r="P16" s="54"/>
      <c r="Q16" s="54"/>
      <c r="R16" s="54"/>
    </row>
    <row r="17" spans="1:18" ht="19.95" customHeight="1" x14ac:dyDescent="0.3">
      <c r="A17" s="18" t="s">
        <v>133</v>
      </c>
      <c r="B17" s="22" t="s">
        <v>220</v>
      </c>
      <c r="C17" s="20" t="s">
        <v>214</v>
      </c>
      <c r="D17" s="20" t="s">
        <v>214</v>
      </c>
      <c r="E17" s="23"/>
      <c r="F17" s="23"/>
      <c r="G17" s="23"/>
      <c r="H17" s="23"/>
      <c r="I17" s="23"/>
      <c r="J17" s="23"/>
      <c r="K17" s="23"/>
      <c r="L17" s="54"/>
      <c r="M17" s="54"/>
      <c r="N17" s="54"/>
      <c r="O17" s="54"/>
      <c r="P17" s="54"/>
      <c r="Q17" s="54"/>
      <c r="R17" s="54"/>
    </row>
    <row r="18" spans="1:18" ht="19.95" customHeight="1" x14ac:dyDescent="0.3">
      <c r="A18" s="18" t="s">
        <v>136</v>
      </c>
      <c r="B18" s="19" t="s">
        <v>137</v>
      </c>
      <c r="C18" s="20" t="s">
        <v>214</v>
      </c>
      <c r="D18" s="20" t="s">
        <v>214</v>
      </c>
      <c r="E18" s="20" t="s">
        <v>214</v>
      </c>
      <c r="F18" s="21"/>
      <c r="G18" s="21"/>
      <c r="H18" s="21"/>
      <c r="I18" s="21"/>
      <c r="J18" s="21"/>
      <c r="K18" s="21"/>
      <c r="L18" s="54"/>
      <c r="M18" s="54"/>
      <c r="N18" s="54"/>
      <c r="O18" s="54"/>
      <c r="P18" s="54"/>
      <c r="Q18" s="54"/>
      <c r="R18" s="54"/>
    </row>
    <row r="19" spans="1:18" ht="19.95" customHeight="1" x14ac:dyDescent="0.3">
      <c r="A19" s="18" t="s">
        <v>139</v>
      </c>
      <c r="B19" s="22" t="s">
        <v>221</v>
      </c>
      <c r="C19" s="20" t="s">
        <v>214</v>
      </c>
      <c r="D19" s="23"/>
      <c r="E19" s="23"/>
      <c r="F19" s="23"/>
      <c r="G19" s="23"/>
      <c r="H19" s="23"/>
      <c r="I19" s="23"/>
      <c r="J19" s="23"/>
      <c r="K19" s="23"/>
      <c r="L19" s="54"/>
      <c r="M19" s="54"/>
      <c r="N19" s="54"/>
      <c r="O19" s="54"/>
      <c r="P19" s="54"/>
      <c r="Q19" s="54"/>
      <c r="R19" s="54"/>
    </row>
    <row r="20" spans="1:18" ht="19.95" customHeight="1" x14ac:dyDescent="0.3">
      <c r="A20" s="18" t="s">
        <v>142</v>
      </c>
      <c r="B20" s="19" t="s">
        <v>143</v>
      </c>
      <c r="C20" s="20" t="s">
        <v>214</v>
      </c>
      <c r="D20" s="20" t="s">
        <v>214</v>
      </c>
      <c r="E20" s="20" t="s">
        <v>214</v>
      </c>
      <c r="F20" s="21"/>
      <c r="G20" s="21"/>
      <c r="H20" s="21"/>
      <c r="I20" s="21"/>
      <c r="J20" s="21"/>
      <c r="K20" s="21"/>
      <c r="L20" s="54"/>
      <c r="M20" s="54"/>
      <c r="N20" s="54"/>
      <c r="O20" s="54"/>
      <c r="P20" s="54"/>
      <c r="Q20" s="54"/>
      <c r="R20" s="54"/>
    </row>
    <row r="21" spans="1:18" ht="19.95" customHeight="1" x14ac:dyDescent="0.3">
      <c r="A21" s="18" t="s">
        <v>145</v>
      </c>
      <c r="B21" s="22" t="s">
        <v>222</v>
      </c>
      <c r="C21" s="20" t="s">
        <v>214</v>
      </c>
      <c r="D21" s="20" t="s">
        <v>214</v>
      </c>
      <c r="E21" s="20" t="s">
        <v>214</v>
      </c>
      <c r="F21" s="23"/>
      <c r="G21" s="23"/>
      <c r="H21" s="23"/>
      <c r="I21" s="23"/>
      <c r="J21" s="23"/>
      <c r="K21" s="23"/>
      <c r="L21" s="54"/>
      <c r="M21" s="54"/>
      <c r="N21" s="54"/>
      <c r="O21" s="54"/>
      <c r="P21" s="54"/>
      <c r="Q21" s="54"/>
      <c r="R21" s="54"/>
    </row>
    <row r="22" spans="1:18" ht="19.95" customHeight="1" x14ac:dyDescent="0.3">
      <c r="A22" s="18" t="s">
        <v>148</v>
      </c>
      <c r="B22" s="19" t="s">
        <v>223</v>
      </c>
      <c r="C22" s="20" t="s">
        <v>214</v>
      </c>
      <c r="D22" s="21"/>
      <c r="E22" s="21"/>
      <c r="F22" s="21"/>
      <c r="G22" s="21"/>
      <c r="H22" s="21"/>
      <c r="I22" s="21"/>
      <c r="J22" s="21"/>
      <c r="K22" s="21"/>
      <c r="L22" s="54"/>
      <c r="M22" s="54"/>
      <c r="N22" s="54"/>
      <c r="O22" s="54"/>
      <c r="P22" s="54"/>
      <c r="Q22" s="54"/>
      <c r="R22" s="54"/>
    </row>
    <row r="23" spans="1:18" ht="19.95" customHeight="1" x14ac:dyDescent="0.3">
      <c r="A23" s="18" t="s">
        <v>151</v>
      </c>
      <c r="B23" s="22" t="s">
        <v>152</v>
      </c>
      <c r="C23" s="23"/>
      <c r="D23" s="23"/>
      <c r="E23" s="23"/>
      <c r="F23" s="23"/>
      <c r="G23" s="23"/>
      <c r="H23" s="23"/>
      <c r="I23" s="23"/>
      <c r="J23" s="23"/>
      <c r="K23" s="20" t="s">
        <v>214</v>
      </c>
      <c r="L23" s="54"/>
      <c r="M23" s="54"/>
      <c r="N23" s="54"/>
      <c r="O23" s="54"/>
      <c r="P23" s="54"/>
      <c r="Q23" s="54"/>
      <c r="R23" s="54"/>
    </row>
    <row r="24" spans="1:18" ht="19.95" customHeight="1" x14ac:dyDescent="0.3">
      <c r="A24" s="18" t="s">
        <v>156</v>
      </c>
      <c r="B24" s="19" t="s">
        <v>224</v>
      </c>
      <c r="C24" s="21"/>
      <c r="D24" s="21"/>
      <c r="E24" s="21"/>
      <c r="F24" s="21"/>
      <c r="G24" s="21"/>
      <c r="H24" s="21"/>
      <c r="I24" s="21"/>
      <c r="J24" s="21"/>
      <c r="K24" s="21"/>
      <c r="L24" s="54"/>
      <c r="M24" s="54"/>
      <c r="N24" s="54"/>
      <c r="O24" s="54"/>
      <c r="P24" s="54"/>
      <c r="Q24" s="54"/>
      <c r="R24" s="54"/>
    </row>
    <row r="25" spans="1:18" ht="19.95" customHeight="1" x14ac:dyDescent="0.3">
      <c r="A25" s="18" t="s">
        <v>159</v>
      </c>
      <c r="B25" s="22" t="s">
        <v>160</v>
      </c>
      <c r="C25" s="23"/>
      <c r="D25" s="23"/>
      <c r="E25" s="23"/>
      <c r="F25" s="23"/>
      <c r="G25" s="23"/>
      <c r="H25" s="23"/>
      <c r="I25" s="23"/>
      <c r="J25" s="23"/>
      <c r="K25" s="23"/>
      <c r="L25" s="54"/>
      <c r="M25" s="54"/>
      <c r="N25" s="54"/>
      <c r="O25" s="54"/>
      <c r="P25" s="54"/>
      <c r="Q25" s="54"/>
      <c r="R25" s="54"/>
    </row>
    <row r="26" spans="1:18" ht="19.95" customHeight="1" x14ac:dyDescent="0.3">
      <c r="A26" s="18" t="s">
        <v>162</v>
      </c>
      <c r="B26" s="19" t="s">
        <v>225</v>
      </c>
      <c r="C26" s="21"/>
      <c r="D26" s="21"/>
      <c r="E26" s="21"/>
      <c r="F26" s="21"/>
      <c r="G26" s="21"/>
      <c r="H26" s="21"/>
      <c r="I26" s="21"/>
      <c r="J26" s="21"/>
      <c r="K26" s="21"/>
      <c r="L26" s="54"/>
      <c r="M26" s="54"/>
      <c r="N26" s="54"/>
      <c r="O26" s="54"/>
      <c r="P26" s="54"/>
      <c r="Q26" s="54"/>
      <c r="R26" s="54"/>
    </row>
    <row r="27" spans="1:18" ht="19.95" customHeight="1" x14ac:dyDescent="0.3">
      <c r="A27" s="18" t="s">
        <v>165</v>
      </c>
      <c r="B27" s="22" t="s">
        <v>226</v>
      </c>
      <c r="C27" s="23"/>
      <c r="D27" s="23"/>
      <c r="E27" s="23"/>
      <c r="F27" s="23"/>
      <c r="G27" s="23"/>
      <c r="H27" s="23"/>
      <c r="I27" s="23"/>
      <c r="J27" s="23"/>
      <c r="K27" s="23"/>
      <c r="L27" s="54"/>
      <c r="M27" s="54"/>
      <c r="N27" s="54"/>
      <c r="O27" s="54"/>
      <c r="P27" s="54"/>
      <c r="Q27" s="54"/>
      <c r="R27" s="54"/>
    </row>
    <row r="28" spans="1:18" ht="19.95" customHeight="1" x14ac:dyDescent="0.3">
      <c r="A28" s="18" t="s">
        <v>169</v>
      </c>
      <c r="B28" s="19" t="s">
        <v>227</v>
      </c>
      <c r="C28" s="21"/>
      <c r="D28" s="21"/>
      <c r="E28" s="21"/>
      <c r="F28" s="21"/>
      <c r="G28" s="21"/>
      <c r="H28" s="21"/>
      <c r="I28" s="21"/>
      <c r="J28" s="21"/>
      <c r="K28" s="21"/>
      <c r="L28" s="54"/>
      <c r="M28" s="54"/>
      <c r="N28" s="54"/>
      <c r="O28" s="54"/>
      <c r="P28" s="54"/>
      <c r="Q28" s="54"/>
      <c r="R28" s="54"/>
    </row>
    <row r="29" spans="1:18" ht="19.95" customHeight="1" x14ac:dyDescent="0.3">
      <c r="A29" s="18" t="s">
        <v>172</v>
      </c>
      <c r="B29" s="22" t="s">
        <v>228</v>
      </c>
      <c r="C29" s="23"/>
      <c r="D29" s="23"/>
      <c r="E29" s="23"/>
      <c r="F29" s="23"/>
      <c r="G29" s="23"/>
      <c r="H29" s="23"/>
      <c r="I29" s="23"/>
      <c r="J29" s="23"/>
      <c r="K29" s="23"/>
      <c r="L29" s="54"/>
      <c r="M29" s="54"/>
      <c r="N29" s="54"/>
      <c r="O29" s="54"/>
      <c r="P29" s="54"/>
      <c r="Q29" s="54"/>
      <c r="R29" s="54"/>
    </row>
    <row r="30" spans="1:18" ht="19.95" customHeight="1" x14ac:dyDescent="0.3">
      <c r="A30" s="18" t="s">
        <v>175</v>
      </c>
      <c r="B30" s="19" t="s">
        <v>229</v>
      </c>
      <c r="C30" s="21"/>
      <c r="D30" s="21"/>
      <c r="E30" s="21"/>
      <c r="F30" s="21"/>
      <c r="G30" s="21"/>
      <c r="H30" s="21"/>
      <c r="I30" s="21"/>
      <c r="J30" s="20" t="s">
        <v>214</v>
      </c>
      <c r="K30" s="21"/>
      <c r="L30" s="54"/>
      <c r="M30" s="54"/>
      <c r="N30" s="54"/>
      <c r="O30" s="54"/>
      <c r="P30" s="54"/>
      <c r="Q30" s="54"/>
      <c r="R30" s="54"/>
    </row>
    <row r="31" spans="1:18" ht="19.95" customHeight="1" x14ac:dyDescent="0.3">
      <c r="A31" s="18" t="s">
        <v>180</v>
      </c>
      <c r="B31" s="22" t="s">
        <v>230</v>
      </c>
      <c r="C31" s="23"/>
      <c r="D31" s="23"/>
      <c r="E31" s="23"/>
      <c r="F31" s="23"/>
      <c r="G31" s="23"/>
      <c r="H31" s="23"/>
      <c r="I31" s="23"/>
      <c r="J31" s="23"/>
      <c r="K31" s="23"/>
      <c r="L31" s="54"/>
      <c r="M31" s="54"/>
      <c r="N31" s="54"/>
      <c r="O31" s="54"/>
      <c r="P31" s="54"/>
      <c r="Q31" s="54"/>
      <c r="R31" s="54"/>
    </row>
    <row r="32" spans="1:18" ht="19.95" customHeight="1" x14ac:dyDescent="0.3">
      <c r="A32" s="18" t="s">
        <v>183</v>
      </c>
      <c r="B32" s="19" t="s">
        <v>231</v>
      </c>
      <c r="C32" s="21"/>
      <c r="D32" s="21"/>
      <c r="E32" s="21"/>
      <c r="F32" s="21"/>
      <c r="G32" s="21"/>
      <c r="H32" s="21"/>
      <c r="I32" s="21"/>
      <c r="J32" s="21"/>
      <c r="K32" s="21"/>
      <c r="L32" s="54"/>
      <c r="M32" s="54"/>
      <c r="N32" s="54"/>
      <c r="O32" s="54"/>
      <c r="P32" s="54"/>
      <c r="Q32" s="54"/>
      <c r="R32" s="54"/>
    </row>
    <row r="33" spans="1:18" ht="19.95" customHeight="1" x14ac:dyDescent="0.3">
      <c r="A33" s="18" t="s">
        <v>187</v>
      </c>
      <c r="B33" s="22" t="s">
        <v>232</v>
      </c>
      <c r="C33" s="23"/>
      <c r="D33" s="23"/>
      <c r="E33" s="23"/>
      <c r="F33" s="23"/>
      <c r="G33" s="23"/>
      <c r="H33" s="23"/>
      <c r="I33" s="23"/>
      <c r="J33" s="23"/>
      <c r="K33" s="23"/>
      <c r="L33" s="54"/>
      <c r="M33" s="54"/>
      <c r="N33" s="54"/>
      <c r="O33" s="54"/>
      <c r="P33" s="54"/>
      <c r="Q33" s="54"/>
      <c r="R33" s="54"/>
    </row>
    <row r="34" spans="1:18" ht="19.95" customHeight="1" x14ac:dyDescent="0.3">
      <c r="A34" s="18" t="s">
        <v>190</v>
      </c>
      <c r="B34" s="19" t="s">
        <v>233</v>
      </c>
      <c r="C34" s="21"/>
      <c r="D34" s="21"/>
      <c r="E34" s="21"/>
      <c r="F34" s="21"/>
      <c r="G34" s="21"/>
      <c r="H34" s="21"/>
      <c r="I34" s="21"/>
      <c r="J34" s="21"/>
      <c r="K34" s="21"/>
      <c r="L34" s="54"/>
      <c r="M34" s="54"/>
      <c r="N34" s="54"/>
      <c r="O34" s="54"/>
      <c r="P34" s="54"/>
      <c r="Q34" s="54"/>
      <c r="R34" s="54"/>
    </row>
    <row r="35" spans="1:18" ht="19.95" customHeight="1" x14ac:dyDescent="0.3">
      <c r="A35" s="18" t="s">
        <v>194</v>
      </c>
      <c r="B35" s="22" t="s">
        <v>234</v>
      </c>
      <c r="C35" s="23"/>
      <c r="D35" s="23"/>
      <c r="E35" s="23"/>
      <c r="F35" s="23"/>
      <c r="G35" s="23"/>
      <c r="H35" s="23"/>
      <c r="I35" s="23"/>
      <c r="J35" s="23"/>
      <c r="K35" s="23"/>
      <c r="L35" s="54"/>
      <c r="M35" s="54"/>
      <c r="N35" s="54"/>
      <c r="O35" s="54"/>
      <c r="P35" s="54"/>
      <c r="Q35" s="54"/>
      <c r="R35" s="54"/>
    </row>
    <row r="36" spans="1:18" ht="19.95" customHeight="1" x14ac:dyDescent="0.3">
      <c r="A36" s="18" t="s">
        <v>197</v>
      </c>
      <c r="B36" s="19" t="s">
        <v>235</v>
      </c>
      <c r="C36" s="21"/>
      <c r="D36" s="21"/>
      <c r="E36" s="21"/>
      <c r="F36" s="21"/>
      <c r="G36" s="21"/>
      <c r="H36" s="21"/>
      <c r="I36" s="21"/>
      <c r="J36" s="21"/>
      <c r="K36" s="21"/>
      <c r="L36" s="54"/>
      <c r="M36" s="54"/>
      <c r="N36" s="54"/>
      <c r="O36" s="54"/>
      <c r="P36" s="54"/>
      <c r="Q36" s="54"/>
      <c r="R36" s="54"/>
    </row>
    <row r="37" spans="1:18" x14ac:dyDescent="0.3">
      <c r="L37" s="54"/>
      <c r="M37" s="54"/>
      <c r="N37" s="54"/>
      <c r="O37" s="54"/>
      <c r="P37" s="54"/>
      <c r="Q37" s="54"/>
      <c r="R37" s="54"/>
    </row>
    <row r="38" spans="1:18" ht="22.05" customHeight="1" x14ac:dyDescent="0.3">
      <c r="A38" s="104" t="s">
        <v>236</v>
      </c>
      <c r="B38" s="69"/>
      <c r="C38" s="53">
        <f t="shared" ref="C38:K38" si="0">IFERROR(COUNTIF(C4:C36,"✓")/COUNTA(C4:C36),"")</f>
        <v>1</v>
      </c>
      <c r="D38" s="53">
        <f t="shared" si="0"/>
        <v>1</v>
      </c>
      <c r="E38" s="53">
        <f t="shared" si="0"/>
        <v>1</v>
      </c>
      <c r="F38" s="53">
        <f t="shared" si="0"/>
        <v>1</v>
      </c>
      <c r="G38" s="53">
        <f t="shared" si="0"/>
        <v>1</v>
      </c>
      <c r="H38" s="53">
        <f t="shared" si="0"/>
        <v>1</v>
      </c>
      <c r="I38" s="53">
        <f t="shared" si="0"/>
        <v>1</v>
      </c>
      <c r="J38" s="53">
        <f t="shared" si="0"/>
        <v>1</v>
      </c>
      <c r="K38" s="53">
        <f t="shared" si="0"/>
        <v>1</v>
      </c>
      <c r="L38" s="54"/>
      <c r="M38" s="54"/>
      <c r="N38" s="54"/>
      <c r="O38" s="54"/>
      <c r="P38" s="54"/>
      <c r="Q38" s="54"/>
      <c r="R38" s="54"/>
    </row>
    <row r="39" spans="1:18" x14ac:dyDescent="0.3">
      <c r="L39" s="54"/>
      <c r="M39" s="54"/>
      <c r="N39" s="54"/>
      <c r="O39" s="54"/>
      <c r="P39" s="54"/>
      <c r="Q39" s="54"/>
      <c r="R39" s="54"/>
    </row>
    <row r="40" spans="1:18" x14ac:dyDescent="0.3">
      <c r="L40" s="54"/>
      <c r="M40" s="54"/>
      <c r="N40" s="54"/>
      <c r="O40" s="54"/>
      <c r="P40" s="54"/>
      <c r="Q40" s="54"/>
      <c r="R40" s="54"/>
    </row>
  </sheetData>
  <mergeCells count="4">
    <mergeCell ref="C2:F2"/>
    <mergeCell ref="A1:K1"/>
    <mergeCell ref="A38:B38"/>
    <mergeCell ref="G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8"/>
  <sheetViews>
    <sheetView showGridLines="0" topLeftCell="A6" workbookViewId="0">
      <selection activeCell="A18" sqref="A18:F18"/>
    </sheetView>
  </sheetViews>
  <sheetFormatPr baseColWidth="10" defaultColWidth="8.796875" defaultRowHeight="14.4" x14ac:dyDescent="0.3"/>
  <cols>
    <col min="1" max="1" width="12" customWidth="1"/>
    <col min="2" max="2" width="28" customWidth="1"/>
    <col min="3" max="4" width="14" customWidth="1"/>
    <col min="5" max="5" width="18" customWidth="1"/>
    <col min="6" max="6" width="12" customWidth="1"/>
    <col min="7" max="8" width="14" customWidth="1"/>
    <col min="9" max="9" width="18" customWidth="1"/>
  </cols>
  <sheetData>
    <row r="1" spans="1:10" ht="42" customHeight="1" x14ac:dyDescent="0.3">
      <c r="A1" s="94" t="s">
        <v>237</v>
      </c>
      <c r="B1" s="69"/>
      <c r="C1" s="69"/>
      <c r="D1" s="69"/>
      <c r="E1" s="69"/>
      <c r="F1" s="69"/>
      <c r="G1" s="69"/>
      <c r="H1" s="69"/>
      <c r="I1" s="69"/>
      <c r="J1" s="69"/>
    </row>
    <row r="2" spans="1:10" ht="18" customHeight="1" x14ac:dyDescent="0.3">
      <c r="A2" s="135" t="s">
        <v>238</v>
      </c>
      <c r="B2" s="69"/>
      <c r="C2" s="69"/>
      <c r="D2" s="69"/>
      <c r="E2" s="69"/>
      <c r="F2" s="69"/>
      <c r="G2" s="69"/>
      <c r="H2" s="69"/>
      <c r="I2" s="69"/>
      <c r="J2" s="69"/>
    </row>
    <row r="3" spans="1:10" ht="10.050000000000001" customHeight="1" x14ac:dyDescent="0.3"/>
    <row r="4" spans="1:10" ht="18" customHeight="1" x14ac:dyDescent="0.3">
      <c r="A4" s="130" t="s">
        <v>239</v>
      </c>
      <c r="B4" s="69"/>
      <c r="C4" s="118" t="s">
        <v>240</v>
      </c>
      <c r="D4" s="107"/>
      <c r="E4" s="119" t="s">
        <v>241</v>
      </c>
      <c r="F4" s="103"/>
      <c r="G4" s="131" t="s">
        <v>242</v>
      </c>
      <c r="H4" s="122"/>
      <c r="I4" s="132" t="s">
        <v>243</v>
      </c>
      <c r="J4" s="110"/>
    </row>
    <row r="5" spans="1:10" ht="40.049999999999997" customHeight="1" x14ac:dyDescent="0.3">
      <c r="A5" s="125">
        <f>COUNTA('📋 Matriz principal'!A4:A103)</f>
        <v>33</v>
      </c>
      <c r="B5" s="69"/>
      <c r="C5" s="112">
        <f>COUNTIF('📋 Matriz principal'!O4:O103,"Verificado")</f>
        <v>0</v>
      </c>
      <c r="D5" s="107"/>
      <c r="E5" s="113">
        <f>COUNTIF('📋 Matriz principal'!O4:O103,"En desarrollo")</f>
        <v>0</v>
      </c>
      <c r="F5" s="103"/>
      <c r="G5" s="126">
        <f>COUNTIF('📋 Matriz principal'!O4:O103,"Bloqueado")+COUNTIF('📋 Matriz principal'!M4:M103,"Fallido")</f>
        <v>0</v>
      </c>
      <c r="H5" s="122"/>
      <c r="I5" s="127">
        <f>COUNTIF('📋 Matriz principal'!L4:L103,"")-MAX(0,COUNTA('📋 Matriz principal'!A4:A103)-COUNTA('📋 Matriz principal'!L4:L103))</f>
        <v>67</v>
      </c>
      <c r="J5" s="110"/>
    </row>
    <row r="6" spans="1:10" ht="22.05" customHeight="1" x14ac:dyDescent="0.3">
      <c r="A6" s="117"/>
      <c r="B6" s="69"/>
      <c r="C6" s="108"/>
      <c r="D6" s="107"/>
      <c r="E6" s="124"/>
      <c r="F6" s="103"/>
      <c r="G6" s="121"/>
      <c r="H6" s="122"/>
      <c r="I6" s="109"/>
      <c r="J6" s="110"/>
    </row>
    <row r="7" spans="1:10" ht="16.05" customHeight="1" x14ac:dyDescent="0.3"/>
    <row r="8" spans="1:10" ht="19.95" customHeight="1" x14ac:dyDescent="0.3">
      <c r="A8" s="111" t="s">
        <v>244</v>
      </c>
      <c r="B8" s="69"/>
      <c r="C8" s="69"/>
      <c r="D8" s="69"/>
      <c r="E8" s="69"/>
      <c r="F8" s="69"/>
      <c r="G8" s="69"/>
      <c r="H8" s="69"/>
      <c r="I8" s="69"/>
      <c r="J8" s="69"/>
    </row>
    <row r="9" spans="1:10" ht="18" customHeight="1" x14ac:dyDescent="0.3">
      <c r="A9" s="43" t="s">
        <v>245</v>
      </c>
      <c r="B9" s="44" t="s">
        <v>94</v>
      </c>
      <c r="C9" s="45" t="s">
        <v>241</v>
      </c>
      <c r="D9" s="44" t="s">
        <v>246</v>
      </c>
      <c r="E9" s="46" t="s">
        <v>247</v>
      </c>
      <c r="F9" s="47" t="s">
        <v>248</v>
      </c>
      <c r="G9" s="48" t="s">
        <v>249</v>
      </c>
      <c r="H9" s="49" t="s">
        <v>250</v>
      </c>
    </row>
    <row r="10" spans="1:10" ht="24" customHeight="1" x14ac:dyDescent="0.3">
      <c r="A10" s="24">
        <f>COUNTIF('📋 Matriz principal'!O4:O103,"Propuesto")</f>
        <v>0</v>
      </c>
      <c r="B10" s="25">
        <f>COUNTIF('📋 Matriz principal'!O4:O103,"Aprobado")</f>
        <v>33</v>
      </c>
      <c r="C10" s="26">
        <f>COUNTIF('📋 Matriz principal'!O4:O103,"En desarrollo")</f>
        <v>0</v>
      </c>
      <c r="D10" s="25">
        <f>COUNTIF('📋 Matriz principal'!O4:O103,"Implementado")</f>
        <v>0</v>
      </c>
      <c r="E10" s="27">
        <f>COUNTIF('📋 Matriz principal'!O4:O103,"Verificado")</f>
        <v>0</v>
      </c>
      <c r="F10" s="28">
        <f>COUNTIF('📋 Matriz principal'!O4:O103,"Aplazado")</f>
        <v>0</v>
      </c>
      <c r="G10" s="29">
        <f>COUNTIF('📋 Matriz principal'!O4:O103,"Rechazado")</f>
        <v>0</v>
      </c>
      <c r="H10" s="30">
        <f>COUNTIF('📋 Matriz principal'!O4:O103,"Archivado")</f>
        <v>0</v>
      </c>
    </row>
    <row r="11" spans="1:10" ht="16.05" customHeight="1" x14ac:dyDescent="0.3"/>
    <row r="12" spans="1:10" ht="19.95" customHeight="1" x14ac:dyDescent="0.3">
      <c r="A12" s="111" t="s">
        <v>251</v>
      </c>
      <c r="B12" s="69"/>
      <c r="C12" s="69"/>
      <c r="D12" s="69"/>
      <c r="E12" s="69"/>
      <c r="F12" s="69"/>
      <c r="G12" s="69"/>
      <c r="H12" s="69"/>
    </row>
    <row r="13" spans="1:10" ht="18" customHeight="1" x14ac:dyDescent="0.3">
      <c r="A13" s="133" t="s">
        <v>89</v>
      </c>
      <c r="B13" s="79"/>
      <c r="C13" s="134" t="s">
        <v>128</v>
      </c>
      <c r="D13" s="79"/>
      <c r="E13" s="120" t="s">
        <v>252</v>
      </c>
      <c r="F13" s="79"/>
      <c r="G13" s="123" t="s">
        <v>253</v>
      </c>
      <c r="H13" s="79"/>
    </row>
    <row r="14" spans="1:10" ht="24" customHeight="1" x14ac:dyDescent="0.3">
      <c r="A14" s="128">
        <f>COUNTIF('📋 Matriz principal'!F4:F103,"Must have")</f>
        <v>24</v>
      </c>
      <c r="B14" s="60"/>
      <c r="C14" s="114">
        <f>COUNTIF('📋 Matriz principal'!F4:F103,"Should have")</f>
        <v>9</v>
      </c>
      <c r="D14" s="60"/>
      <c r="E14" s="116">
        <f>COUNTIF('📋 Matriz principal'!F4:F103,"Could have")</f>
        <v>0</v>
      </c>
      <c r="F14" s="60"/>
      <c r="G14" s="129">
        <f>COUNTIF('📋 Matriz principal'!F4:F103,"Won't have")</f>
        <v>0</v>
      </c>
      <c r="H14" s="60"/>
    </row>
    <row r="15" spans="1:10" ht="16.05" customHeight="1" x14ac:dyDescent="0.3"/>
    <row r="16" spans="1:10" ht="19.95" customHeight="1" x14ac:dyDescent="0.3">
      <c r="A16" s="111" t="s">
        <v>254</v>
      </c>
      <c r="B16" s="69"/>
      <c r="C16" s="69"/>
      <c r="D16" s="69"/>
      <c r="E16" s="69"/>
      <c r="F16" s="69"/>
      <c r="G16" s="69"/>
      <c r="H16" s="69"/>
    </row>
    <row r="17" spans="1:6" ht="18" customHeight="1" x14ac:dyDescent="0.3">
      <c r="A17" s="50" t="s">
        <v>203</v>
      </c>
      <c r="B17" s="50" t="s">
        <v>255</v>
      </c>
      <c r="C17" s="50" t="s">
        <v>256</v>
      </c>
      <c r="D17" s="50" t="s">
        <v>257</v>
      </c>
      <c r="E17" s="50" t="s">
        <v>258</v>
      </c>
      <c r="F17" s="50" t="s">
        <v>259</v>
      </c>
    </row>
    <row r="18" spans="1:6" ht="19.95" customHeight="1" x14ac:dyDescent="0.3">
      <c r="A18" s="115" t="s">
        <v>260</v>
      </c>
      <c r="B18" s="69"/>
      <c r="C18" s="69"/>
      <c r="D18" s="69"/>
      <c r="E18" s="69"/>
      <c r="F18" s="69"/>
    </row>
  </sheetData>
  <mergeCells count="29">
    <mergeCell ref="A1:J1"/>
    <mergeCell ref="E6:F6"/>
    <mergeCell ref="A5:B5"/>
    <mergeCell ref="G5:H5"/>
    <mergeCell ref="I5:J5"/>
    <mergeCell ref="A4:B4"/>
    <mergeCell ref="G4:H4"/>
    <mergeCell ref="I4:J4"/>
    <mergeCell ref="A2:J2"/>
    <mergeCell ref="C14:D14"/>
    <mergeCell ref="A18:F18"/>
    <mergeCell ref="E14:F14"/>
    <mergeCell ref="A6:B6"/>
    <mergeCell ref="C4:D4"/>
    <mergeCell ref="E4:F4"/>
    <mergeCell ref="A16:H16"/>
    <mergeCell ref="E13:F13"/>
    <mergeCell ref="G6:H6"/>
    <mergeCell ref="G13:H13"/>
    <mergeCell ref="A12:H12"/>
    <mergeCell ref="A14:B14"/>
    <mergeCell ref="G14:H14"/>
    <mergeCell ref="A13:B13"/>
    <mergeCell ref="C13:D13"/>
    <mergeCell ref="C6:D6"/>
    <mergeCell ref="I6:J6"/>
    <mergeCell ref="A8:J8"/>
    <mergeCell ref="C5:D5"/>
    <mergeCell ref="E5:F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7"/>
  <sheetViews>
    <sheetView showGridLines="0" workbookViewId="0">
      <pane ySplit="2" topLeftCell="A3" activePane="bottomLeft" state="frozen"/>
      <selection pane="bottomLeft" activeCell="A3" sqref="A3:M3"/>
    </sheetView>
  </sheetViews>
  <sheetFormatPr baseColWidth="10" defaultColWidth="8.796875" defaultRowHeight="14.4" x14ac:dyDescent="0.3"/>
  <cols>
    <col min="1" max="1" width="10" customWidth="1"/>
    <col min="2" max="2" width="30" customWidth="1"/>
    <col min="3" max="3" width="18" customWidth="1"/>
    <col min="4" max="4" width="14" customWidth="1"/>
    <col min="5" max="5" width="12" customWidth="1"/>
    <col min="6" max="6" width="20" customWidth="1"/>
    <col min="7" max="7" width="28" customWidth="1"/>
    <col min="8" max="9" width="14" customWidth="1"/>
    <col min="10" max="10" width="18" customWidth="1"/>
    <col min="11" max="11" width="12" customWidth="1"/>
    <col min="12" max="12" width="14" customWidth="1"/>
    <col min="13" max="13" width="28" customWidth="1"/>
  </cols>
  <sheetData>
    <row r="1" spans="1:13" ht="36" customHeight="1" x14ac:dyDescent="0.3">
      <c r="A1" s="56" t="s">
        <v>261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</row>
    <row r="2" spans="1:13" ht="36" customHeight="1" x14ac:dyDescent="0.3">
      <c r="A2" s="40" t="s">
        <v>262</v>
      </c>
      <c r="B2" s="41" t="s">
        <v>263</v>
      </c>
      <c r="C2" s="42" t="s">
        <v>264</v>
      </c>
      <c r="D2" s="40" t="s">
        <v>265</v>
      </c>
      <c r="E2" s="40" t="s">
        <v>256</v>
      </c>
      <c r="F2" s="40" t="s">
        <v>266</v>
      </c>
      <c r="G2" s="40" t="s">
        <v>267</v>
      </c>
      <c r="H2" s="40" t="s">
        <v>268</v>
      </c>
      <c r="I2" s="40" t="s">
        <v>269</v>
      </c>
      <c r="J2" s="40" t="s">
        <v>270</v>
      </c>
      <c r="K2" s="40" t="s">
        <v>271</v>
      </c>
      <c r="L2" s="40" t="s">
        <v>272</v>
      </c>
      <c r="M2" s="40" t="s">
        <v>273</v>
      </c>
    </row>
    <row r="3" spans="1:13" ht="42" customHeight="1" x14ac:dyDescent="0.3">
      <c r="A3" s="136" t="s">
        <v>274</v>
      </c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9"/>
    </row>
    <row r="4" spans="1:13" ht="19.95" customHeight="1" x14ac:dyDescent="0.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</row>
    <row r="5" spans="1:13" ht="19.95" customHeight="1" x14ac:dyDescent="0.3">
      <c r="A5" s="39"/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</row>
    <row r="6" spans="1:13" ht="19.95" customHeight="1" x14ac:dyDescent="0.3">
      <c r="A6" s="39"/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</row>
    <row r="7" spans="1:13" ht="19.95" customHeight="1" x14ac:dyDescent="0.3">
      <c r="A7" s="39"/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</row>
  </sheetData>
  <mergeCells count="2">
    <mergeCell ref="A3:M3"/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2"/>
  <sheetViews>
    <sheetView showGridLines="0" tabSelected="1" workbookViewId="0">
      <pane ySplit="2" topLeftCell="A3" activePane="bottomLeft" state="frozen"/>
      <selection pane="bottomLeft" activeCell="B6" sqref="B6"/>
    </sheetView>
  </sheetViews>
  <sheetFormatPr baseColWidth="10" defaultColWidth="8.796875" defaultRowHeight="14.4" x14ac:dyDescent="0.3"/>
  <cols>
    <col min="1" max="2" width="14" customWidth="1"/>
    <col min="3" max="3" width="34" customWidth="1"/>
    <col min="4" max="4" width="14" customWidth="1"/>
    <col min="5" max="6" width="18" customWidth="1"/>
    <col min="7" max="7" width="24" customWidth="1"/>
  </cols>
  <sheetData>
    <row r="1" spans="1:7" ht="36" customHeight="1" x14ac:dyDescent="0.3">
      <c r="A1" s="56" t="s">
        <v>0</v>
      </c>
      <c r="B1" s="57"/>
      <c r="C1" s="57"/>
      <c r="D1" s="57"/>
      <c r="E1" s="57"/>
      <c r="F1" s="57"/>
      <c r="G1" s="57"/>
    </row>
    <row r="2" spans="1:7" ht="34.049999999999997" customHeight="1" x14ac:dyDescent="0.3">
      <c r="A2" s="51" t="s">
        <v>1</v>
      </c>
      <c r="B2" s="52" t="s">
        <v>2</v>
      </c>
      <c r="C2" s="37" t="s">
        <v>3</v>
      </c>
      <c r="D2" s="52" t="s">
        <v>4</v>
      </c>
      <c r="E2" s="52" t="s">
        <v>5</v>
      </c>
      <c r="F2" s="52" t="s">
        <v>6</v>
      </c>
      <c r="G2" s="38" t="s">
        <v>7</v>
      </c>
    </row>
    <row r="3" spans="1:7" ht="22.05" customHeight="1" x14ac:dyDescent="0.3">
      <c r="A3" s="31" t="s">
        <v>8</v>
      </c>
      <c r="B3" s="15" t="s">
        <v>9</v>
      </c>
      <c r="C3" s="2" t="s">
        <v>10</v>
      </c>
      <c r="D3" s="13" t="s">
        <v>11</v>
      </c>
      <c r="E3" s="2" t="s">
        <v>12</v>
      </c>
      <c r="F3" s="13" t="s">
        <v>13</v>
      </c>
      <c r="G3" s="2" t="s">
        <v>14</v>
      </c>
    </row>
    <row r="4" spans="1:7" ht="22.05" customHeight="1" x14ac:dyDescent="0.3">
      <c r="A4" s="31" t="s">
        <v>15</v>
      </c>
      <c r="B4" s="55" t="s">
        <v>16</v>
      </c>
      <c r="C4" s="1" t="s">
        <v>279</v>
      </c>
      <c r="D4" s="9" t="s">
        <v>11</v>
      </c>
      <c r="E4" s="1" t="s">
        <v>12</v>
      </c>
      <c r="F4" s="9" t="s">
        <v>13</v>
      </c>
      <c r="G4" s="1" t="s">
        <v>17</v>
      </c>
    </row>
    <row r="5" spans="1:7" ht="22.05" customHeight="1" x14ac:dyDescent="0.3">
      <c r="A5" s="31" t="s">
        <v>18</v>
      </c>
      <c r="B5" s="55" t="s">
        <v>16</v>
      </c>
      <c r="C5" s="2" t="s">
        <v>278</v>
      </c>
      <c r="D5" s="13" t="s">
        <v>11</v>
      </c>
      <c r="E5" s="2" t="s">
        <v>12</v>
      </c>
      <c r="F5" s="13" t="s">
        <v>13</v>
      </c>
      <c r="G5" s="2" t="s">
        <v>19</v>
      </c>
    </row>
    <row r="6" spans="1:7" ht="22.05" customHeight="1" x14ac:dyDescent="0.3">
      <c r="A6" s="31" t="s">
        <v>20</v>
      </c>
      <c r="B6" s="55" t="s">
        <v>16</v>
      </c>
      <c r="C6" s="1" t="s">
        <v>277</v>
      </c>
      <c r="D6" s="9" t="s">
        <v>11</v>
      </c>
      <c r="E6" s="1" t="s">
        <v>12</v>
      </c>
      <c r="F6" s="9" t="s">
        <v>13</v>
      </c>
      <c r="G6" s="1" t="s">
        <v>21</v>
      </c>
    </row>
    <row r="7" spans="1:7" ht="22.05" customHeight="1" x14ac:dyDescent="0.3">
      <c r="A7" s="31" t="s">
        <v>22</v>
      </c>
      <c r="B7" s="55" t="s">
        <v>16</v>
      </c>
      <c r="C7" s="2" t="s">
        <v>276</v>
      </c>
      <c r="D7" s="13" t="s">
        <v>11</v>
      </c>
      <c r="E7" s="2" t="s">
        <v>12</v>
      </c>
      <c r="F7" s="13" t="s">
        <v>13</v>
      </c>
      <c r="G7" s="2" t="s">
        <v>23</v>
      </c>
    </row>
    <row r="8" spans="1:7" ht="22.05" customHeight="1" x14ac:dyDescent="0.3">
      <c r="A8" s="31" t="s">
        <v>24</v>
      </c>
      <c r="B8" s="55" t="s">
        <v>16</v>
      </c>
      <c r="C8" s="1" t="s">
        <v>275</v>
      </c>
      <c r="D8" s="9" t="s">
        <v>11</v>
      </c>
      <c r="E8" s="1" t="s">
        <v>12</v>
      </c>
      <c r="F8" s="9" t="s">
        <v>13</v>
      </c>
      <c r="G8" s="1" t="s">
        <v>23</v>
      </c>
    </row>
    <row r="9" spans="1:7" x14ac:dyDescent="0.3">
      <c r="A9" s="31"/>
      <c r="B9" s="11"/>
      <c r="C9" s="2"/>
      <c r="D9" s="13"/>
      <c r="E9" s="2"/>
      <c r="F9" s="13"/>
      <c r="G9" s="2"/>
    </row>
    <row r="10" spans="1:7" x14ac:dyDescent="0.3">
      <c r="A10" s="31"/>
      <c r="B10" s="11"/>
      <c r="C10" s="1"/>
      <c r="D10" s="9"/>
      <c r="E10" s="1"/>
      <c r="F10" s="9"/>
      <c r="G10" s="1"/>
    </row>
    <row r="11" spans="1:7" x14ac:dyDescent="0.3">
      <c r="A11" s="31"/>
      <c r="B11" s="11"/>
      <c r="C11" s="2"/>
      <c r="D11" s="13"/>
      <c r="E11" s="2"/>
      <c r="F11" s="13"/>
      <c r="G11" s="2"/>
    </row>
    <row r="12" spans="1:7" x14ac:dyDescent="0.3">
      <c r="A12" s="31"/>
      <c r="B12" s="11"/>
      <c r="C12" s="1"/>
      <c r="D12" s="9"/>
      <c r="E12" s="1"/>
      <c r="F12" s="9"/>
      <c r="G12" s="1"/>
    </row>
    <row r="13" spans="1:7" x14ac:dyDescent="0.3">
      <c r="A13" s="31"/>
      <c r="B13" s="11"/>
      <c r="C13" s="2"/>
      <c r="D13" s="13"/>
      <c r="E13" s="2"/>
      <c r="F13" s="13"/>
      <c r="G13" s="2"/>
    </row>
    <row r="14" spans="1:7" x14ac:dyDescent="0.3">
      <c r="A14" s="31"/>
      <c r="B14" s="32"/>
      <c r="C14" s="1"/>
      <c r="D14" s="9"/>
      <c r="E14" s="1"/>
      <c r="F14" s="9"/>
      <c r="G14" s="1"/>
    </row>
    <row r="15" spans="1:7" x14ac:dyDescent="0.3">
      <c r="A15" s="31"/>
      <c r="B15" s="32"/>
      <c r="C15" s="2"/>
      <c r="D15" s="13"/>
      <c r="E15" s="2"/>
      <c r="F15" s="13"/>
      <c r="G15" s="2"/>
    </row>
    <row r="16" spans="1:7" x14ac:dyDescent="0.3">
      <c r="A16" s="31"/>
      <c r="B16" s="32"/>
      <c r="C16" s="1"/>
      <c r="D16" s="9"/>
      <c r="E16" s="1"/>
      <c r="F16" s="9"/>
      <c r="G16" s="1"/>
    </row>
    <row r="17" spans="1:7" x14ac:dyDescent="0.3">
      <c r="A17" s="31"/>
      <c r="B17" s="32"/>
      <c r="C17" s="2"/>
      <c r="D17" s="13"/>
      <c r="E17" s="2"/>
      <c r="F17" s="13"/>
      <c r="G17" s="2"/>
    </row>
    <row r="18" spans="1:7" x14ac:dyDescent="0.3">
      <c r="A18" s="31"/>
      <c r="B18" s="32"/>
      <c r="C18" s="1"/>
      <c r="D18" s="9"/>
      <c r="E18" s="1"/>
      <c r="F18" s="9"/>
      <c r="G18" s="1"/>
    </row>
    <row r="19" spans="1:7" x14ac:dyDescent="0.3">
      <c r="A19" s="31"/>
      <c r="B19" s="33"/>
      <c r="C19" s="2"/>
      <c r="D19" s="13"/>
      <c r="E19" s="2"/>
      <c r="F19" s="13"/>
      <c r="G19" s="2"/>
    </row>
    <row r="20" spans="1:7" x14ac:dyDescent="0.3">
      <c r="A20" s="31"/>
      <c r="B20" s="33"/>
      <c r="C20" s="1"/>
      <c r="D20" s="9"/>
      <c r="E20" s="1"/>
      <c r="F20" s="9"/>
      <c r="G20" s="1"/>
    </row>
    <row r="21" spans="1:7" x14ac:dyDescent="0.3">
      <c r="A21" s="31"/>
      <c r="B21" s="14"/>
      <c r="C21" s="2"/>
      <c r="D21" s="13"/>
      <c r="E21" s="2"/>
      <c r="F21" s="13"/>
      <c r="G21" s="2"/>
    </row>
    <row r="22" spans="1:7" x14ac:dyDescent="0.3">
      <c r="A22" s="31"/>
      <c r="B22" s="31"/>
      <c r="C22" s="1"/>
      <c r="D22" s="9"/>
      <c r="E22" s="1"/>
      <c r="F22" s="9"/>
      <c r="G22" s="1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📖 Instrucciones</vt:lpstr>
      <vt:lpstr>📋 Matriz principal</vt:lpstr>
      <vt:lpstr>🔗 Trazabilidad visual</vt:lpstr>
      <vt:lpstr>📊 Resumen y métricas</vt:lpstr>
      <vt:lpstr>📝 Registro de RFCs</vt:lpstr>
      <vt:lpstr>🗂️ Catálogo de artefactos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De Dios Garcia Lopez</cp:lastModifiedBy>
  <dcterms:created xsi:type="dcterms:W3CDTF">2026-06-17T01:22:24Z</dcterms:created>
  <dcterms:modified xsi:type="dcterms:W3CDTF">2026-09-28T21:19:29Z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0x0101006127783753953547B7FC3082537267E2</vt:lpwstr>
  </property>
  <property fmtid="{D5CDD505-2E9C-101B-9397-08002B2CF9AE}" pid="3" name="MediaServiceImageTags">
    <vt:lpwstr/>
  </property>
</Properties>
</file>